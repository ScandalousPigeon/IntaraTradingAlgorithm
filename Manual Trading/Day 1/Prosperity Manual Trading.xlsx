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c4f7ffed9c6980/Documents/"/>
    </mc:Choice>
  </mc:AlternateContent>
  <xr:revisionPtr revIDLastSave="132" documentId="8_{DC03B04C-C2F5-4536-A86F-7CFB3859DD1B}" xr6:coauthVersionLast="47" xr6:coauthVersionMax="47" xr10:uidLastSave="{217C8312-D57D-4096-A49E-984D26F69757}"/>
  <bookViews>
    <workbookView xWindow="-110" yWindow="-110" windowWidth="19420" windowHeight="12220" xr2:uid="{6AA8AD74-BBBE-4072-BCF4-CE10F8A76770}"/>
  </bookViews>
  <sheets>
    <sheet name="Round 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E22" i="1"/>
  <c r="N5" i="1"/>
  <c r="T5" i="1"/>
  <c r="I23" i="1"/>
  <c r="S21" i="1"/>
  <c r="S20" i="1"/>
  <c r="V11" i="1"/>
  <c r="W11" i="1"/>
  <c r="T10" i="1"/>
  <c r="U10" i="1"/>
  <c r="V10" i="1"/>
  <c r="W10" i="1"/>
  <c r="T11" i="1"/>
  <c r="U11" i="1"/>
  <c r="T12" i="1"/>
  <c r="U12" i="1"/>
  <c r="V12" i="1"/>
  <c r="W12" i="1"/>
  <c r="T13" i="1"/>
  <c r="U13" i="1"/>
  <c r="V13" i="1"/>
  <c r="W13" i="1"/>
  <c r="W6" i="1"/>
  <c r="W7" i="1"/>
  <c r="W8" i="1"/>
  <c r="W9" i="1"/>
  <c r="W5" i="1"/>
  <c r="T6" i="1"/>
  <c r="T7" i="1"/>
  <c r="T8" i="1"/>
  <c r="T9" i="1"/>
  <c r="V9" i="1"/>
  <c r="U9" i="1"/>
  <c r="V8" i="1"/>
  <c r="U8" i="1"/>
  <c r="V7" i="1"/>
  <c r="U7" i="1"/>
  <c r="V6" i="1"/>
  <c r="U6" i="1"/>
  <c r="V5" i="1"/>
  <c r="U5" i="1"/>
  <c r="Q6" i="1"/>
  <c r="Q7" i="1"/>
  <c r="Q8" i="1"/>
  <c r="Q9" i="1"/>
  <c r="Q5" i="1"/>
  <c r="N6" i="1"/>
  <c r="N7" i="1"/>
  <c r="N8" i="1"/>
  <c r="N9" i="1"/>
  <c r="O6" i="1"/>
  <c r="P6" i="1"/>
  <c r="O7" i="1"/>
  <c r="P7" i="1"/>
  <c r="O8" i="1"/>
  <c r="P8" i="1"/>
  <c r="O9" i="1"/>
  <c r="P9" i="1"/>
  <c r="P5" i="1"/>
  <c r="O5" i="1"/>
  <c r="J16" i="1"/>
  <c r="L15" i="1"/>
  <c r="F12" i="1"/>
  <c r="D14" i="1" s="1"/>
  <c r="J15" i="1"/>
  <c r="D12" i="1"/>
  <c r="D20" i="1" l="1"/>
</calcChain>
</file>

<file path=xl/sharedStrings.xml><?xml version="1.0" encoding="utf-8"?>
<sst xmlns="http://schemas.openxmlformats.org/spreadsheetml/2006/main" count="37" uniqueCount="14">
  <si>
    <t>Dryland Flax</t>
  </si>
  <si>
    <t>Bid</t>
  </si>
  <si>
    <t>Ask</t>
  </si>
  <si>
    <t>volume</t>
  </si>
  <si>
    <t>price</t>
  </si>
  <si>
    <t>cost</t>
  </si>
  <si>
    <t>payoff</t>
  </si>
  <si>
    <t>profit</t>
  </si>
  <si>
    <t>trading costs</t>
  </si>
  <si>
    <t xml:space="preserve">total profit </t>
  </si>
  <si>
    <t>total profit</t>
  </si>
  <si>
    <t>Ember Mushroom</t>
  </si>
  <si>
    <t>cumulative volume</t>
  </si>
  <si>
    <t>25000*0.9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</si>
</sst>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6A4A0-D797-414C-BC36-BF6C139D850B}">
  <dimension ref="C2:W23"/>
  <sheetViews>
    <sheetView tabSelected="1" zoomScale="95" workbookViewId="0">
      <selection activeCell="I23" sqref="I23"/>
    </sheetView>
  </sheetViews>
  <sheetFormatPr defaultRowHeight="14.5" x14ac:dyDescent="0.35"/>
  <cols>
    <col min="6" max="6" width="10.1796875" bestFit="1" customWidth="1"/>
    <col min="9" max="9" width="11.6328125" customWidth="1"/>
  </cols>
  <sheetData>
    <row r="2" spans="3:23" x14ac:dyDescent="0.35">
      <c r="C2" s="4" t="s">
        <v>0</v>
      </c>
      <c r="D2" s="4"/>
      <c r="E2" s="4"/>
      <c r="F2" s="4"/>
      <c r="I2" s="4" t="s">
        <v>11</v>
      </c>
      <c r="J2" s="4"/>
      <c r="K2" s="4"/>
      <c r="L2" s="4"/>
      <c r="N2" s="4" t="s">
        <v>0</v>
      </c>
      <c r="O2" s="4"/>
      <c r="P2" s="4"/>
      <c r="Q2" s="4"/>
      <c r="T2" s="4" t="s">
        <v>0</v>
      </c>
      <c r="U2" s="4"/>
      <c r="V2" s="4"/>
      <c r="W2" s="4"/>
    </row>
    <row r="3" spans="3:23" x14ac:dyDescent="0.35">
      <c r="C3" s="4" t="s">
        <v>1</v>
      </c>
      <c r="D3" s="4"/>
      <c r="E3" s="4" t="s">
        <v>2</v>
      </c>
      <c r="F3" s="4"/>
      <c r="I3" s="4" t="s">
        <v>1</v>
      </c>
      <c r="J3" s="4"/>
      <c r="K3" s="4" t="s">
        <v>2</v>
      </c>
      <c r="L3" s="4"/>
      <c r="N3" s="4" t="s">
        <v>1</v>
      </c>
      <c r="O3" s="4"/>
      <c r="P3" s="4" t="s">
        <v>2</v>
      </c>
      <c r="Q3" s="4"/>
      <c r="T3" s="4" t="s">
        <v>1</v>
      </c>
      <c r="U3" s="4"/>
      <c r="V3" s="4" t="s">
        <v>2</v>
      </c>
      <c r="W3" s="4"/>
    </row>
    <row r="4" spans="3:23" x14ac:dyDescent="0.35">
      <c r="C4" t="s">
        <v>3</v>
      </c>
      <c r="D4" t="s">
        <v>4</v>
      </c>
      <c r="E4" t="s">
        <v>4</v>
      </c>
      <c r="F4" t="s">
        <v>3</v>
      </c>
      <c r="I4" t="s">
        <v>3</v>
      </c>
      <c r="J4" t="s">
        <v>4</v>
      </c>
      <c r="K4" t="s">
        <v>4</v>
      </c>
      <c r="L4" t="s">
        <v>3</v>
      </c>
      <c r="N4" t="s">
        <v>12</v>
      </c>
      <c r="O4" t="s">
        <v>4</v>
      </c>
      <c r="P4" t="s">
        <v>4</v>
      </c>
      <c r="Q4" t="s">
        <v>3</v>
      </c>
      <c r="T4" t="s">
        <v>12</v>
      </c>
      <c r="U4" t="s">
        <v>4</v>
      </c>
      <c r="V4" t="s">
        <v>4</v>
      </c>
      <c r="W4" t="s">
        <v>3</v>
      </c>
    </row>
    <row r="5" spans="3:23" x14ac:dyDescent="0.35">
      <c r="C5" s="2">
        <v>9999</v>
      </c>
      <c r="D5" s="2">
        <v>31</v>
      </c>
      <c r="I5" s="2">
        <v>19999</v>
      </c>
      <c r="J5" s="2">
        <v>21</v>
      </c>
      <c r="N5">
        <f>SUM($C$5:C5)</f>
        <v>9999</v>
      </c>
      <c r="O5">
        <f>D5</f>
        <v>31</v>
      </c>
      <c r="P5">
        <f>E5</f>
        <v>0</v>
      </c>
      <c r="Q5">
        <f>SUM($F$5:F5)</f>
        <v>0</v>
      </c>
      <c r="T5">
        <f>SUM($I$5:I5)</f>
        <v>19999</v>
      </c>
      <c r="U5">
        <f>J5</f>
        <v>21</v>
      </c>
      <c r="V5">
        <f>K5</f>
        <v>0</v>
      </c>
      <c r="W5">
        <f>SUM($L$5:L5)</f>
        <v>0</v>
      </c>
    </row>
    <row r="6" spans="3:23" x14ac:dyDescent="0.35">
      <c r="C6">
        <v>30000</v>
      </c>
      <c r="D6">
        <v>30</v>
      </c>
      <c r="E6">
        <v>28</v>
      </c>
      <c r="F6">
        <v>40000</v>
      </c>
      <c r="I6" s="1">
        <v>43000</v>
      </c>
      <c r="J6" s="1">
        <v>20</v>
      </c>
      <c r="K6" s="1">
        <v>12</v>
      </c>
      <c r="L6" s="1">
        <v>20000</v>
      </c>
      <c r="N6">
        <f>SUM($C$5:C6)</f>
        <v>39999</v>
      </c>
      <c r="O6">
        <f t="shared" ref="O6:O9" si="0">D6</f>
        <v>30</v>
      </c>
      <c r="P6">
        <f t="shared" ref="P6:P9" si="1">E6</f>
        <v>28</v>
      </c>
      <c r="Q6">
        <f>SUM($F$5:F6)</f>
        <v>40000</v>
      </c>
      <c r="T6">
        <f>SUM($I$5:I6)</f>
        <v>62999</v>
      </c>
      <c r="U6">
        <f t="shared" ref="U6:U9" si="2">J6</f>
        <v>20</v>
      </c>
      <c r="V6">
        <f t="shared" ref="V6:V9" si="3">K6</f>
        <v>12</v>
      </c>
      <c r="W6">
        <f>SUM($L$5:L6)</f>
        <v>20000</v>
      </c>
    </row>
    <row r="7" spans="3:23" x14ac:dyDescent="0.35">
      <c r="C7">
        <v>5000</v>
      </c>
      <c r="D7">
        <v>29</v>
      </c>
      <c r="E7">
        <v>31</v>
      </c>
      <c r="F7">
        <v>20000</v>
      </c>
      <c r="I7" s="1">
        <v>17000</v>
      </c>
      <c r="J7" s="1">
        <v>19</v>
      </c>
      <c r="K7" s="1">
        <v>13</v>
      </c>
      <c r="L7" s="1">
        <v>25000</v>
      </c>
      <c r="N7">
        <f>SUM($C$5:C7)</f>
        <v>44999</v>
      </c>
      <c r="O7">
        <f t="shared" si="0"/>
        <v>29</v>
      </c>
      <c r="P7">
        <f t="shared" si="1"/>
        <v>31</v>
      </c>
      <c r="Q7">
        <f>SUM($F$5:F7)</f>
        <v>60000</v>
      </c>
      <c r="T7">
        <f>SUM($I$5:I7)</f>
        <v>79999</v>
      </c>
      <c r="U7">
        <f t="shared" si="2"/>
        <v>19</v>
      </c>
      <c r="V7">
        <f t="shared" si="3"/>
        <v>13</v>
      </c>
      <c r="W7">
        <f>SUM($L$5:L7)</f>
        <v>45000</v>
      </c>
    </row>
    <row r="8" spans="3:23" x14ac:dyDescent="0.35">
      <c r="C8">
        <v>12000</v>
      </c>
      <c r="D8">
        <v>28</v>
      </c>
      <c r="E8">
        <v>32</v>
      </c>
      <c r="F8">
        <v>20000</v>
      </c>
      <c r="I8" s="1">
        <v>6000</v>
      </c>
      <c r="J8" s="1">
        <v>18</v>
      </c>
      <c r="K8" s="1">
        <v>14</v>
      </c>
      <c r="L8" s="1">
        <v>35000</v>
      </c>
      <c r="N8">
        <f>SUM($C$5:C8)</f>
        <v>56999</v>
      </c>
      <c r="O8">
        <f t="shared" si="0"/>
        <v>28</v>
      </c>
      <c r="P8">
        <f t="shared" si="1"/>
        <v>32</v>
      </c>
      <c r="Q8">
        <f>SUM($F$5:F8)</f>
        <v>80000</v>
      </c>
      <c r="T8">
        <f>SUM($I$5:I8)</f>
        <v>85999</v>
      </c>
      <c r="U8">
        <f t="shared" si="2"/>
        <v>18</v>
      </c>
      <c r="V8">
        <f t="shared" si="3"/>
        <v>14</v>
      </c>
      <c r="W8">
        <f>SUM($L$5:L8)</f>
        <v>80000</v>
      </c>
    </row>
    <row r="9" spans="3:23" x14ac:dyDescent="0.35">
      <c r="C9">
        <v>28000</v>
      </c>
      <c r="D9">
        <v>27</v>
      </c>
      <c r="E9">
        <v>33</v>
      </c>
      <c r="F9">
        <v>30000</v>
      </c>
      <c r="I9" s="1">
        <v>5000</v>
      </c>
      <c r="J9" s="1">
        <v>17</v>
      </c>
      <c r="K9" s="1">
        <v>15</v>
      </c>
      <c r="L9" s="1">
        <v>6000</v>
      </c>
      <c r="N9">
        <f>SUM($C$5:C9)</f>
        <v>84999</v>
      </c>
      <c r="O9">
        <f t="shared" si="0"/>
        <v>27</v>
      </c>
      <c r="P9">
        <f t="shared" si="1"/>
        <v>33</v>
      </c>
      <c r="Q9">
        <f>SUM($F$5:F9)</f>
        <v>110000</v>
      </c>
      <c r="T9">
        <f>SUM($I$5:I9)</f>
        <v>90999</v>
      </c>
      <c r="U9">
        <f t="shared" si="2"/>
        <v>17</v>
      </c>
      <c r="V9">
        <f t="shared" si="3"/>
        <v>15</v>
      </c>
      <c r="W9">
        <f>SUM($L$5:L9)</f>
        <v>86000</v>
      </c>
    </row>
    <row r="10" spans="3:23" x14ac:dyDescent="0.35">
      <c r="I10" s="1">
        <v>10000</v>
      </c>
      <c r="J10" s="1">
        <v>16</v>
      </c>
      <c r="K10" s="1">
        <v>16</v>
      </c>
      <c r="L10" s="1">
        <v>5000</v>
      </c>
      <c r="T10">
        <f>SUM($I$5:I10)</f>
        <v>100999</v>
      </c>
      <c r="U10">
        <f>J10</f>
        <v>16</v>
      </c>
      <c r="V10">
        <f>K10</f>
        <v>16</v>
      </c>
      <c r="W10">
        <f>SUM($L$5:L10)</f>
        <v>91000</v>
      </c>
    </row>
    <row r="11" spans="3:23" x14ac:dyDescent="0.35">
      <c r="I11" s="1">
        <v>5000</v>
      </c>
      <c r="J11" s="1">
        <v>15</v>
      </c>
      <c r="K11" s="1">
        <v>17</v>
      </c>
      <c r="L11" s="1">
        <v>0</v>
      </c>
      <c r="T11">
        <f>SUM($I$5:I11)</f>
        <v>105999</v>
      </c>
      <c r="U11">
        <f t="shared" ref="U11:U13" si="4">J11</f>
        <v>15</v>
      </c>
      <c r="V11">
        <f t="shared" ref="V11:V13" si="5">K11</f>
        <v>17</v>
      </c>
      <c r="W11" s="3">
        <f>SUM($L$5:L11)</f>
        <v>91000</v>
      </c>
    </row>
    <row r="12" spans="3:23" x14ac:dyDescent="0.35">
      <c r="C12" t="s">
        <v>5</v>
      </c>
      <c r="D12">
        <f>C5*E6</f>
        <v>279972</v>
      </c>
      <c r="E12" t="s">
        <v>6</v>
      </c>
      <c r="F12">
        <f>C5*30</f>
        <v>299970</v>
      </c>
      <c r="I12" s="1">
        <v>10000</v>
      </c>
      <c r="J12" s="1">
        <v>14</v>
      </c>
      <c r="K12" s="1">
        <v>18</v>
      </c>
      <c r="L12" s="1">
        <v>10000</v>
      </c>
      <c r="T12">
        <f>SUM($I$5:I12)</f>
        <v>115999</v>
      </c>
      <c r="U12">
        <f t="shared" si="4"/>
        <v>14</v>
      </c>
      <c r="V12">
        <f t="shared" si="5"/>
        <v>18</v>
      </c>
      <c r="W12">
        <f>SUM($L$5:L12)</f>
        <v>101000</v>
      </c>
    </row>
    <row r="13" spans="3:23" x14ac:dyDescent="0.35">
      <c r="I13" s="1">
        <v>7000</v>
      </c>
      <c r="J13" s="1">
        <v>13</v>
      </c>
      <c r="K13" s="1">
        <v>19</v>
      </c>
      <c r="L13" s="1">
        <v>12000</v>
      </c>
      <c r="T13">
        <f>SUM($I$5:I13)</f>
        <v>122999</v>
      </c>
      <c r="U13">
        <f t="shared" si="4"/>
        <v>13</v>
      </c>
      <c r="V13">
        <f t="shared" si="5"/>
        <v>19</v>
      </c>
      <c r="W13">
        <f>SUM($L$5:L13)</f>
        <v>113000</v>
      </c>
    </row>
    <row r="14" spans="3:23" x14ac:dyDescent="0.35">
      <c r="C14" t="s">
        <v>7</v>
      </c>
      <c r="D14">
        <f>F12-D12</f>
        <v>19998</v>
      </c>
    </row>
    <row r="15" spans="3:23" x14ac:dyDescent="0.35">
      <c r="I15" t="s">
        <v>5</v>
      </c>
      <c r="J15">
        <f>L6*K6+L7*K7+(I5-L6-L7)*K8</f>
        <v>214986</v>
      </c>
      <c r="K15" t="s">
        <v>6</v>
      </c>
      <c r="L15">
        <f>I5*20</f>
        <v>399980</v>
      </c>
    </row>
    <row r="16" spans="3:23" x14ac:dyDescent="0.35">
      <c r="I16" t="s">
        <v>8</v>
      </c>
      <c r="J16">
        <f>0.1*I5</f>
        <v>1999.9</v>
      </c>
    </row>
    <row r="18" spans="3:19" x14ac:dyDescent="0.35">
      <c r="I18" t="s">
        <v>9</v>
      </c>
    </row>
    <row r="19" spans="3:19" x14ac:dyDescent="0.35">
      <c r="S19" t="s">
        <v>13</v>
      </c>
    </row>
    <row r="20" spans="3:19" x14ac:dyDescent="0.35">
      <c r="C20" t="s">
        <v>10</v>
      </c>
      <c r="D20">
        <f>J18+D14</f>
        <v>19998</v>
      </c>
      <c r="S20">
        <f>25000*2.9</f>
        <v>72500</v>
      </c>
    </row>
    <row r="21" spans="3:19" x14ac:dyDescent="0.35">
      <c r="S21">
        <f>35000*1.9</f>
        <v>66500</v>
      </c>
    </row>
    <row r="22" spans="3:19" x14ac:dyDescent="0.35">
      <c r="E22">
        <f>C5</f>
        <v>9999</v>
      </c>
      <c r="I22">
        <f>19999*(19.9-16)</f>
        <v>77996.099999999977</v>
      </c>
    </row>
    <row r="23" spans="3:19" x14ac:dyDescent="0.35">
      <c r="I23">
        <f>SUM(I22,E22)</f>
        <v>87995.099999999977</v>
      </c>
    </row>
  </sheetData>
  <mergeCells count="12">
    <mergeCell ref="C2:F2"/>
    <mergeCell ref="C3:D3"/>
    <mergeCell ref="E3:F3"/>
    <mergeCell ref="I2:L2"/>
    <mergeCell ref="I3:J3"/>
    <mergeCell ref="K3:L3"/>
    <mergeCell ref="N2:Q2"/>
    <mergeCell ref="N3:O3"/>
    <mergeCell ref="P3:Q3"/>
    <mergeCell ref="T2:W2"/>
    <mergeCell ref="T3:U3"/>
    <mergeCell ref="V3:W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Round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Tan</dc:creator>
  <cp:lastModifiedBy>Oscar Tan</cp:lastModifiedBy>
  <dcterms:created xsi:type="dcterms:W3CDTF">2026-04-16T23:05:36Z</dcterms:created>
  <dcterms:modified xsi:type="dcterms:W3CDTF">2026-04-17T07:41:56Z</dcterms:modified>
</cp:coreProperties>
</file>