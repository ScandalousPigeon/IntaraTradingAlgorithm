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c4f7ffed9c6980/Python/IntaraTradingAlgorithm/Manual Trading/Day 3/"/>
    </mc:Choice>
  </mc:AlternateContent>
  <xr:revisionPtr revIDLastSave="77" documentId="8_{DA082EFF-C414-4551-A8BC-B89349E5E691}" xr6:coauthVersionLast="47" xr6:coauthVersionMax="47" xr10:uidLastSave="{59D46149-96A7-45F5-9B1A-96C20DEA7855}"/>
  <bookViews>
    <workbookView xWindow="-110" yWindow="-110" windowWidth="19420" windowHeight="12220" xr2:uid="{69BC4B49-F889-447C-BB1B-4A95B93F97BC}"/>
  </bookViews>
  <sheets>
    <sheet name="Simplified (no other players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9" i="1" l="1"/>
  <c r="J9" i="1" s="1"/>
  <c r="L9" i="1" s="1"/>
  <c r="H10" i="1"/>
  <c r="J10" i="1" s="1"/>
  <c r="L10" i="1" s="1"/>
  <c r="H11" i="1"/>
  <c r="J11" i="1" s="1"/>
  <c r="L11" i="1" s="1"/>
  <c r="H12" i="1"/>
  <c r="J12" i="1" s="1"/>
  <c r="L12" i="1" s="1"/>
  <c r="H13" i="1"/>
  <c r="J13" i="1" s="1"/>
  <c r="K13" i="1" s="1"/>
  <c r="H14" i="1"/>
  <c r="J14" i="1" s="1"/>
  <c r="K14" i="1" s="1"/>
  <c r="H15" i="1"/>
  <c r="I15" i="1" s="1"/>
  <c r="H16" i="1"/>
  <c r="I16" i="1" s="1"/>
  <c r="H17" i="1"/>
  <c r="I17" i="1" s="1"/>
  <c r="H18" i="1"/>
  <c r="I18" i="1" s="1"/>
  <c r="H19" i="1"/>
  <c r="I19" i="1" s="1"/>
  <c r="H20" i="1"/>
  <c r="J20" i="1" s="1"/>
  <c r="K20" i="1" s="1"/>
  <c r="H21" i="1"/>
  <c r="J21" i="1" s="1"/>
  <c r="L21" i="1" s="1"/>
  <c r="H22" i="1"/>
  <c r="J22" i="1" s="1"/>
  <c r="L22" i="1" s="1"/>
  <c r="H23" i="1"/>
  <c r="J23" i="1" s="1"/>
  <c r="L23" i="1" s="1"/>
  <c r="H24" i="1"/>
  <c r="J24" i="1" s="1"/>
  <c r="L24" i="1" s="1"/>
  <c r="H25" i="1"/>
  <c r="J25" i="1" s="1"/>
  <c r="L25" i="1" s="1"/>
  <c r="H26" i="1"/>
  <c r="I26" i="1" s="1"/>
  <c r="H27" i="1"/>
  <c r="J27" i="1" s="1"/>
  <c r="L27" i="1" s="1"/>
  <c r="H28" i="1"/>
  <c r="I28" i="1" s="1"/>
  <c r="H29" i="1"/>
  <c r="I29" i="1" s="1"/>
  <c r="H30" i="1"/>
  <c r="I30" i="1" s="1"/>
  <c r="H31" i="1"/>
  <c r="I31" i="1" s="1"/>
  <c r="H32" i="1"/>
  <c r="J32" i="1" s="1"/>
  <c r="K32" i="1" s="1"/>
  <c r="H33" i="1"/>
  <c r="J33" i="1" s="1"/>
  <c r="L33" i="1" s="1"/>
  <c r="H34" i="1"/>
  <c r="J34" i="1" s="1"/>
  <c r="L34" i="1" s="1"/>
  <c r="H35" i="1"/>
  <c r="J35" i="1" s="1"/>
  <c r="L35" i="1" s="1"/>
  <c r="H36" i="1"/>
  <c r="J36" i="1" s="1"/>
  <c r="L36" i="1" s="1"/>
  <c r="H37" i="1"/>
  <c r="J37" i="1" s="1"/>
  <c r="L37" i="1" s="1"/>
  <c r="H38" i="1"/>
  <c r="J38" i="1" s="1"/>
  <c r="L38" i="1" s="1"/>
  <c r="H39" i="1"/>
  <c r="J39" i="1" s="1"/>
  <c r="K39" i="1" s="1"/>
  <c r="H40" i="1"/>
  <c r="J40" i="1" s="1"/>
  <c r="K40" i="1" s="1"/>
  <c r="H41" i="1"/>
  <c r="I41" i="1" s="1"/>
  <c r="H42" i="1"/>
  <c r="I42" i="1" s="1"/>
  <c r="H43" i="1"/>
  <c r="I43" i="1" s="1"/>
  <c r="H44" i="1"/>
  <c r="J44" i="1" s="1"/>
  <c r="K44" i="1" s="1"/>
  <c r="H45" i="1"/>
  <c r="J45" i="1" s="1"/>
  <c r="L45" i="1" s="1"/>
  <c r="H46" i="1"/>
  <c r="J46" i="1" s="1"/>
  <c r="L46" i="1" s="1"/>
  <c r="H47" i="1"/>
  <c r="J47" i="1" s="1"/>
  <c r="L47" i="1" s="1"/>
  <c r="H48" i="1"/>
  <c r="J48" i="1" s="1"/>
  <c r="L48" i="1" s="1"/>
  <c r="H49" i="1"/>
  <c r="J49" i="1" s="1"/>
  <c r="K49" i="1" s="1"/>
  <c r="H50" i="1"/>
  <c r="I50" i="1" s="1"/>
  <c r="H51" i="1"/>
  <c r="I51" i="1" s="1"/>
  <c r="H52" i="1"/>
  <c r="I52" i="1" s="1"/>
  <c r="H53" i="1"/>
  <c r="I53" i="1" s="1"/>
  <c r="H54" i="1"/>
  <c r="I54" i="1" s="1"/>
  <c r="H55" i="1"/>
  <c r="I55" i="1" s="1"/>
  <c r="H56" i="1"/>
  <c r="J56" i="1" s="1"/>
  <c r="K56" i="1" s="1"/>
  <c r="H57" i="1"/>
  <c r="J57" i="1" s="1"/>
  <c r="L57" i="1" s="1"/>
  <c r="H58" i="1"/>
  <c r="J58" i="1" s="1"/>
  <c r="L58" i="1" s="1"/>
  <c r="H8" i="1"/>
  <c r="J8" i="1" s="1"/>
  <c r="L8" i="1" s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8" i="1"/>
  <c r="I40" i="1" l="1"/>
  <c r="I39" i="1"/>
  <c r="I38" i="1"/>
  <c r="J54" i="1"/>
  <c r="K54" i="1" s="1"/>
  <c r="J50" i="1"/>
  <c r="L50" i="1" s="1"/>
  <c r="J55" i="1"/>
  <c r="K55" i="1" s="1"/>
  <c r="J52" i="1"/>
  <c r="L52" i="1" s="1"/>
  <c r="J51" i="1"/>
  <c r="K51" i="1" s="1"/>
  <c r="J43" i="1"/>
  <c r="K43" i="1" s="1"/>
  <c r="J42" i="1"/>
  <c r="K42" i="1" s="1"/>
  <c r="J31" i="1"/>
  <c r="K31" i="1" s="1"/>
  <c r="J30" i="1"/>
  <c r="K30" i="1" s="1"/>
  <c r="I27" i="1"/>
  <c r="J53" i="1"/>
  <c r="L53" i="1" s="1"/>
  <c r="J29" i="1"/>
  <c r="L29" i="1" s="1"/>
  <c r="J28" i="1"/>
  <c r="L28" i="1" s="1"/>
  <c r="J26" i="1"/>
  <c r="L26" i="1" s="1"/>
  <c r="J19" i="1"/>
  <c r="K19" i="1" s="1"/>
  <c r="J18" i="1"/>
  <c r="K18" i="1" s="1"/>
  <c r="J17" i="1"/>
  <c r="K17" i="1" s="1"/>
  <c r="J16" i="1"/>
  <c r="K16" i="1" s="1"/>
  <c r="J15" i="1"/>
  <c r="K15" i="1" s="1"/>
  <c r="J41" i="1"/>
  <c r="K41" i="1" s="1"/>
  <c r="I14" i="1"/>
  <c r="L32" i="1"/>
  <c r="M32" i="1" s="1"/>
  <c r="L56" i="1"/>
  <c r="M56" i="1" s="1"/>
  <c r="L49" i="1"/>
  <c r="M49" i="1" s="1"/>
  <c r="L44" i="1"/>
  <c r="M44" i="1" s="1"/>
  <c r="L13" i="1"/>
  <c r="M13" i="1" s="1"/>
  <c r="L40" i="1"/>
  <c r="M40" i="1" s="1"/>
  <c r="L39" i="1"/>
  <c r="M39" i="1" s="1"/>
  <c r="L14" i="1"/>
  <c r="M14" i="1" s="1"/>
  <c r="L20" i="1"/>
  <c r="M20" i="1" s="1"/>
  <c r="I37" i="1"/>
  <c r="I13" i="1"/>
  <c r="I11" i="1"/>
  <c r="I49" i="1"/>
  <c r="I25" i="1"/>
  <c r="I24" i="1"/>
  <c r="I8" i="1"/>
  <c r="I35" i="1"/>
  <c r="I23" i="1"/>
  <c r="I48" i="1"/>
  <c r="I36" i="1"/>
  <c r="I12" i="1"/>
  <c r="I47" i="1"/>
  <c r="I58" i="1"/>
  <c r="I46" i="1"/>
  <c r="I34" i="1"/>
  <c r="I22" i="1"/>
  <c r="I10" i="1"/>
  <c r="I57" i="1"/>
  <c r="I45" i="1"/>
  <c r="I33" i="1"/>
  <c r="I21" i="1"/>
  <c r="I9" i="1"/>
  <c r="I56" i="1"/>
  <c r="I44" i="1"/>
  <c r="I32" i="1"/>
  <c r="I20" i="1"/>
  <c r="K37" i="1"/>
  <c r="M37" i="1" s="1"/>
  <c r="K38" i="1"/>
  <c r="M38" i="1" s="1"/>
  <c r="K27" i="1"/>
  <c r="M27" i="1" s="1"/>
  <c r="K25" i="1"/>
  <c r="M25" i="1" s="1"/>
  <c r="K12" i="1"/>
  <c r="M12" i="1" s="1"/>
  <c r="K35" i="1"/>
  <c r="M35" i="1" s="1"/>
  <c r="K23" i="1"/>
  <c r="M23" i="1" s="1"/>
  <c r="K11" i="1"/>
  <c r="M11" i="1" s="1"/>
  <c r="K24" i="1"/>
  <c r="M24" i="1" s="1"/>
  <c r="K47" i="1"/>
  <c r="M47" i="1" s="1"/>
  <c r="K48" i="1"/>
  <c r="M48" i="1" s="1"/>
  <c r="K36" i="1"/>
  <c r="M36" i="1" s="1"/>
  <c r="K8" i="1"/>
  <c r="M8" i="1" s="1"/>
  <c r="K58" i="1"/>
  <c r="M58" i="1" s="1"/>
  <c r="K46" i="1"/>
  <c r="M46" i="1" s="1"/>
  <c r="K34" i="1"/>
  <c r="M34" i="1" s="1"/>
  <c r="K22" i="1"/>
  <c r="M22" i="1" s="1"/>
  <c r="K10" i="1"/>
  <c r="M10" i="1" s="1"/>
  <c r="K57" i="1"/>
  <c r="M57" i="1" s="1"/>
  <c r="K45" i="1"/>
  <c r="M45" i="1" s="1"/>
  <c r="K33" i="1"/>
  <c r="M33" i="1" s="1"/>
  <c r="K21" i="1"/>
  <c r="M21" i="1" s="1"/>
  <c r="K9" i="1"/>
  <c r="M9" i="1" s="1"/>
  <c r="L55" i="1" l="1"/>
  <c r="M55" i="1" s="1"/>
  <c r="K52" i="1"/>
  <c r="M52" i="1" s="1"/>
  <c r="L51" i="1"/>
  <c r="M51" i="1" s="1"/>
  <c r="K50" i="1"/>
  <c r="M50" i="1" s="1"/>
  <c r="L43" i="1"/>
  <c r="M43" i="1" s="1"/>
  <c r="K53" i="1"/>
  <c r="M53" i="1" s="1"/>
  <c r="L54" i="1"/>
  <c r="M54" i="1" s="1"/>
  <c r="L42" i="1"/>
  <c r="M42" i="1" s="1"/>
  <c r="L17" i="1"/>
  <c r="M17" i="1" s="1"/>
  <c r="L18" i="1"/>
  <c r="M18" i="1" s="1"/>
  <c r="L19" i="1"/>
  <c r="M19" i="1" s="1"/>
  <c r="K28" i="1"/>
  <c r="M28" i="1" s="1"/>
  <c r="K29" i="1"/>
  <c r="M29" i="1" s="1"/>
  <c r="L30" i="1"/>
  <c r="M30" i="1" s="1"/>
  <c r="K26" i="1"/>
  <c r="M26" i="1" s="1"/>
  <c r="L41" i="1"/>
  <c r="M41" i="1" s="1"/>
  <c r="L31" i="1"/>
  <c r="M31" i="1" s="1"/>
  <c r="L15" i="1"/>
  <c r="M15" i="1" s="1"/>
  <c r="L16" i="1"/>
  <c r="M16" i="1" s="1"/>
  <c r="I59" i="1"/>
  <c r="M59" i="1" l="1"/>
  <c r="N59" i="1" s="1"/>
  <c r="N62" i="1" s="1"/>
</calcChain>
</file>

<file path=xl/sharedStrings.xml><?xml version="1.0" encoding="utf-8"?>
<sst xmlns="http://schemas.openxmlformats.org/spreadsheetml/2006/main" count="15" uniqueCount="15">
  <si>
    <t>prices</t>
  </si>
  <si>
    <t>First Bid</t>
  </si>
  <si>
    <t>Second Bid</t>
  </si>
  <si>
    <t>(larger than 670 smaller than second)</t>
  </si>
  <si>
    <t>less than 920</t>
  </si>
  <si>
    <t>probabilities</t>
  </si>
  <si>
    <t>First Bid Success</t>
  </si>
  <si>
    <t>First Bid Profit</t>
  </si>
  <si>
    <t>Intrinsic Value</t>
  </si>
  <si>
    <t>second bid success</t>
  </si>
  <si>
    <t>second bid profit</t>
  </si>
  <si>
    <t>Mean second bid</t>
  </si>
  <si>
    <t>second bid penalty</t>
  </si>
  <si>
    <t>profit</t>
  </si>
  <si>
    <t>as percentage of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</si>
</sst>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3CE11-7FF4-4924-A982-F61C58722206}">
  <dimension ref="B1:N62"/>
  <sheetViews>
    <sheetView tabSelected="1" zoomScale="74" workbookViewId="0">
      <selection activeCell="C4" sqref="C4"/>
    </sheetView>
  </sheetViews>
  <sheetFormatPr defaultRowHeight="14.5" x14ac:dyDescent="0.35"/>
  <cols>
    <col min="2" max="2" width="19.26953125" customWidth="1"/>
    <col min="7" max="7" width="10.7265625" customWidth="1"/>
    <col min="8" max="8" width="18.26953125" customWidth="1"/>
    <col min="9" max="9" width="12.7265625" customWidth="1"/>
    <col min="10" max="10" width="18.453125" customWidth="1"/>
    <col min="11" max="11" width="16.90625" customWidth="1"/>
    <col min="12" max="12" width="16.54296875" customWidth="1"/>
  </cols>
  <sheetData>
    <row r="1" spans="2:13" x14ac:dyDescent="0.35">
      <c r="B1" t="s">
        <v>8</v>
      </c>
      <c r="C1">
        <v>920</v>
      </c>
    </row>
    <row r="2" spans="2:13" x14ac:dyDescent="0.35">
      <c r="B2" t="s">
        <v>11</v>
      </c>
      <c r="C2">
        <v>0</v>
      </c>
    </row>
    <row r="3" spans="2:13" x14ac:dyDescent="0.35">
      <c r="B3" t="s">
        <v>1</v>
      </c>
      <c r="C3">
        <v>761</v>
      </c>
      <c r="D3" t="s">
        <v>3</v>
      </c>
    </row>
    <row r="4" spans="2:13" x14ac:dyDescent="0.35">
      <c r="B4" t="s">
        <v>2</v>
      </c>
      <c r="C4">
        <v>861</v>
      </c>
      <c r="D4" t="s">
        <v>4</v>
      </c>
    </row>
    <row r="7" spans="2:13" x14ac:dyDescent="0.35">
      <c r="F7" t="s">
        <v>0</v>
      </c>
      <c r="G7" t="s">
        <v>5</v>
      </c>
      <c r="H7" t="s">
        <v>6</v>
      </c>
      <c r="I7" t="s">
        <v>7</v>
      </c>
      <c r="J7" t="s">
        <v>9</v>
      </c>
      <c r="K7" t="s">
        <v>10</v>
      </c>
      <c r="L7" t="s">
        <v>12</v>
      </c>
      <c r="M7" t="s">
        <v>13</v>
      </c>
    </row>
    <row r="8" spans="2:13" x14ac:dyDescent="0.35">
      <c r="F8">
        <v>670</v>
      </c>
      <c r="G8" s="1">
        <f t="shared" ref="G8:G39" si="0">1/COUNT($F$8:$F$58)</f>
        <v>1.9607843137254902E-2</v>
      </c>
      <c r="H8" t="b">
        <f t="shared" ref="H8:H39" si="1">$C$3&gt;F8</f>
        <v>1</v>
      </c>
      <c r="I8">
        <f>($C$1-$C$3)*H8</f>
        <v>159</v>
      </c>
      <c r="J8" t="b">
        <f>IF(H8, FALSE, $C$4&gt;F8)</f>
        <v>0</v>
      </c>
      <c r="K8">
        <f>J8*($C$1-$C$4)</f>
        <v>0</v>
      </c>
      <c r="L8">
        <f t="shared" ref="L8:L24" si="2">IF(AND(J8,$C$4&lt;=$C$2),(($C$1-$C$2)/($C$1-$C$4))^3,1)</f>
        <v>1</v>
      </c>
      <c r="M8">
        <f>K8*L8</f>
        <v>0</v>
      </c>
    </row>
    <row r="9" spans="2:13" x14ac:dyDescent="0.35">
      <c r="F9">
        <v>675</v>
      </c>
      <c r="G9" s="1">
        <f t="shared" si="0"/>
        <v>1.9607843137254902E-2</v>
      </c>
      <c r="H9" t="b">
        <f t="shared" si="1"/>
        <v>1</v>
      </c>
      <c r="I9">
        <f t="shared" ref="I9:I58" si="3">($C$1-$C$3)*H9</f>
        <v>159</v>
      </c>
      <c r="J9" t="b">
        <f t="shared" ref="J9:J58" si="4">IF(H9, FALSE, $C$4&gt;F9)</f>
        <v>0</v>
      </c>
      <c r="K9">
        <f t="shared" ref="K9:K58" si="5">J9*($C$1-$C$4)</f>
        <v>0</v>
      </c>
      <c r="L9">
        <f t="shared" si="2"/>
        <v>1</v>
      </c>
      <c r="M9">
        <f t="shared" ref="M9:M58" si="6">K9*L9</f>
        <v>0</v>
      </c>
    </row>
    <row r="10" spans="2:13" x14ac:dyDescent="0.35">
      <c r="F10">
        <v>680</v>
      </c>
      <c r="G10" s="1">
        <f t="shared" si="0"/>
        <v>1.9607843137254902E-2</v>
      </c>
      <c r="H10" t="b">
        <f t="shared" si="1"/>
        <v>1</v>
      </c>
      <c r="I10">
        <f t="shared" si="3"/>
        <v>159</v>
      </c>
      <c r="J10" t="b">
        <f t="shared" si="4"/>
        <v>0</v>
      </c>
      <c r="K10">
        <f t="shared" si="5"/>
        <v>0</v>
      </c>
      <c r="L10">
        <f t="shared" si="2"/>
        <v>1</v>
      </c>
      <c r="M10">
        <f t="shared" si="6"/>
        <v>0</v>
      </c>
    </row>
    <row r="11" spans="2:13" x14ac:dyDescent="0.35">
      <c r="F11">
        <v>685</v>
      </c>
      <c r="G11" s="1">
        <f t="shared" si="0"/>
        <v>1.9607843137254902E-2</v>
      </c>
      <c r="H11" t="b">
        <f t="shared" si="1"/>
        <v>1</v>
      </c>
      <c r="I11">
        <f t="shared" si="3"/>
        <v>159</v>
      </c>
      <c r="J11" t="b">
        <f t="shared" si="4"/>
        <v>0</v>
      </c>
      <c r="K11">
        <f t="shared" si="5"/>
        <v>0</v>
      </c>
      <c r="L11">
        <f t="shared" si="2"/>
        <v>1</v>
      </c>
      <c r="M11">
        <f t="shared" si="6"/>
        <v>0</v>
      </c>
    </row>
    <row r="12" spans="2:13" x14ac:dyDescent="0.35">
      <c r="F12">
        <v>690</v>
      </c>
      <c r="G12" s="1">
        <f t="shared" si="0"/>
        <v>1.9607843137254902E-2</v>
      </c>
      <c r="H12" t="b">
        <f t="shared" si="1"/>
        <v>1</v>
      </c>
      <c r="I12">
        <f t="shared" si="3"/>
        <v>159</v>
      </c>
      <c r="J12" t="b">
        <f t="shared" si="4"/>
        <v>0</v>
      </c>
      <c r="K12">
        <f t="shared" si="5"/>
        <v>0</v>
      </c>
      <c r="L12">
        <f t="shared" si="2"/>
        <v>1</v>
      </c>
      <c r="M12">
        <f t="shared" si="6"/>
        <v>0</v>
      </c>
    </row>
    <row r="13" spans="2:13" x14ac:dyDescent="0.35">
      <c r="F13">
        <v>695</v>
      </c>
      <c r="G13" s="1">
        <f t="shared" si="0"/>
        <v>1.9607843137254902E-2</v>
      </c>
      <c r="H13" t="b">
        <f t="shared" si="1"/>
        <v>1</v>
      </c>
      <c r="I13">
        <f t="shared" si="3"/>
        <v>159</v>
      </c>
      <c r="J13" t="b">
        <f t="shared" si="4"/>
        <v>0</v>
      </c>
      <c r="K13">
        <f t="shared" si="5"/>
        <v>0</v>
      </c>
      <c r="L13">
        <f t="shared" si="2"/>
        <v>1</v>
      </c>
      <c r="M13">
        <f t="shared" si="6"/>
        <v>0</v>
      </c>
    </row>
    <row r="14" spans="2:13" x14ac:dyDescent="0.35">
      <c r="F14">
        <v>700</v>
      </c>
      <c r="G14" s="1">
        <f t="shared" si="0"/>
        <v>1.9607843137254902E-2</v>
      </c>
      <c r="H14" t="b">
        <f t="shared" si="1"/>
        <v>1</v>
      </c>
      <c r="I14">
        <f t="shared" si="3"/>
        <v>159</v>
      </c>
      <c r="J14" t="b">
        <f t="shared" si="4"/>
        <v>0</v>
      </c>
      <c r="K14">
        <f t="shared" si="5"/>
        <v>0</v>
      </c>
      <c r="L14">
        <f t="shared" si="2"/>
        <v>1</v>
      </c>
      <c r="M14">
        <f t="shared" si="6"/>
        <v>0</v>
      </c>
    </row>
    <row r="15" spans="2:13" x14ac:dyDescent="0.35">
      <c r="F15">
        <v>705</v>
      </c>
      <c r="G15" s="1">
        <f t="shared" si="0"/>
        <v>1.9607843137254902E-2</v>
      </c>
      <c r="H15" t="b">
        <f t="shared" si="1"/>
        <v>1</v>
      </c>
      <c r="I15">
        <f t="shared" si="3"/>
        <v>159</v>
      </c>
      <c r="J15" t="b">
        <f t="shared" si="4"/>
        <v>0</v>
      </c>
      <c r="K15">
        <f t="shared" si="5"/>
        <v>0</v>
      </c>
      <c r="L15">
        <f t="shared" si="2"/>
        <v>1</v>
      </c>
      <c r="M15">
        <f t="shared" si="6"/>
        <v>0</v>
      </c>
    </row>
    <row r="16" spans="2:13" x14ac:dyDescent="0.35">
      <c r="F16">
        <v>710</v>
      </c>
      <c r="G16" s="1">
        <f t="shared" si="0"/>
        <v>1.9607843137254902E-2</v>
      </c>
      <c r="H16" t="b">
        <f t="shared" si="1"/>
        <v>1</v>
      </c>
      <c r="I16">
        <f t="shared" si="3"/>
        <v>159</v>
      </c>
      <c r="J16" t="b">
        <f t="shared" si="4"/>
        <v>0</v>
      </c>
      <c r="K16">
        <f t="shared" si="5"/>
        <v>0</v>
      </c>
      <c r="L16">
        <f t="shared" si="2"/>
        <v>1</v>
      </c>
      <c r="M16">
        <f t="shared" si="6"/>
        <v>0</v>
      </c>
    </row>
    <row r="17" spans="6:13" x14ac:dyDescent="0.35">
      <c r="F17">
        <v>715</v>
      </c>
      <c r="G17" s="1">
        <f t="shared" si="0"/>
        <v>1.9607843137254902E-2</v>
      </c>
      <c r="H17" t="b">
        <f t="shared" si="1"/>
        <v>1</v>
      </c>
      <c r="I17">
        <f t="shared" si="3"/>
        <v>159</v>
      </c>
      <c r="J17" t="b">
        <f t="shared" si="4"/>
        <v>0</v>
      </c>
      <c r="K17">
        <f t="shared" si="5"/>
        <v>0</v>
      </c>
      <c r="L17">
        <f t="shared" si="2"/>
        <v>1</v>
      </c>
      <c r="M17">
        <f t="shared" si="6"/>
        <v>0</v>
      </c>
    </row>
    <row r="18" spans="6:13" x14ac:dyDescent="0.35">
      <c r="F18">
        <v>720</v>
      </c>
      <c r="G18" s="1">
        <f t="shared" si="0"/>
        <v>1.9607843137254902E-2</v>
      </c>
      <c r="H18" t="b">
        <f t="shared" si="1"/>
        <v>1</v>
      </c>
      <c r="I18">
        <f t="shared" si="3"/>
        <v>159</v>
      </c>
      <c r="J18" t="b">
        <f t="shared" si="4"/>
        <v>0</v>
      </c>
      <c r="K18">
        <f t="shared" si="5"/>
        <v>0</v>
      </c>
      <c r="L18">
        <f t="shared" si="2"/>
        <v>1</v>
      </c>
      <c r="M18">
        <f t="shared" si="6"/>
        <v>0</v>
      </c>
    </row>
    <row r="19" spans="6:13" x14ac:dyDescent="0.35">
      <c r="F19">
        <v>725</v>
      </c>
      <c r="G19" s="1">
        <f t="shared" si="0"/>
        <v>1.9607843137254902E-2</v>
      </c>
      <c r="H19" t="b">
        <f t="shared" si="1"/>
        <v>1</v>
      </c>
      <c r="I19">
        <f t="shared" si="3"/>
        <v>159</v>
      </c>
      <c r="J19" t="b">
        <f t="shared" si="4"/>
        <v>0</v>
      </c>
      <c r="K19">
        <f t="shared" si="5"/>
        <v>0</v>
      </c>
      <c r="L19">
        <f t="shared" si="2"/>
        <v>1</v>
      </c>
      <c r="M19">
        <f t="shared" si="6"/>
        <v>0</v>
      </c>
    </row>
    <row r="20" spans="6:13" x14ac:dyDescent="0.35">
      <c r="F20">
        <v>730</v>
      </c>
      <c r="G20" s="1">
        <f t="shared" si="0"/>
        <v>1.9607843137254902E-2</v>
      </c>
      <c r="H20" t="b">
        <f t="shared" si="1"/>
        <v>1</v>
      </c>
      <c r="I20">
        <f t="shared" si="3"/>
        <v>159</v>
      </c>
      <c r="J20" t="b">
        <f t="shared" si="4"/>
        <v>0</v>
      </c>
      <c r="K20">
        <f t="shared" si="5"/>
        <v>0</v>
      </c>
      <c r="L20">
        <f t="shared" si="2"/>
        <v>1</v>
      </c>
      <c r="M20">
        <f t="shared" si="6"/>
        <v>0</v>
      </c>
    </row>
    <row r="21" spans="6:13" x14ac:dyDescent="0.35">
      <c r="F21">
        <v>735</v>
      </c>
      <c r="G21" s="1">
        <f t="shared" si="0"/>
        <v>1.9607843137254902E-2</v>
      </c>
      <c r="H21" t="b">
        <f t="shared" si="1"/>
        <v>1</v>
      </c>
      <c r="I21">
        <f t="shared" si="3"/>
        <v>159</v>
      </c>
      <c r="J21" t="b">
        <f t="shared" si="4"/>
        <v>0</v>
      </c>
      <c r="K21">
        <f t="shared" si="5"/>
        <v>0</v>
      </c>
      <c r="L21">
        <f t="shared" si="2"/>
        <v>1</v>
      </c>
      <c r="M21">
        <f t="shared" si="6"/>
        <v>0</v>
      </c>
    </row>
    <row r="22" spans="6:13" x14ac:dyDescent="0.35">
      <c r="F22">
        <v>740</v>
      </c>
      <c r="G22" s="1">
        <f t="shared" si="0"/>
        <v>1.9607843137254902E-2</v>
      </c>
      <c r="H22" t="b">
        <f t="shared" si="1"/>
        <v>1</v>
      </c>
      <c r="I22">
        <f t="shared" si="3"/>
        <v>159</v>
      </c>
      <c r="J22" t="b">
        <f t="shared" si="4"/>
        <v>0</v>
      </c>
      <c r="K22">
        <f t="shared" si="5"/>
        <v>0</v>
      </c>
      <c r="L22">
        <f t="shared" si="2"/>
        <v>1</v>
      </c>
      <c r="M22">
        <f t="shared" si="6"/>
        <v>0</v>
      </c>
    </row>
    <row r="23" spans="6:13" x14ac:dyDescent="0.35">
      <c r="F23">
        <v>745</v>
      </c>
      <c r="G23" s="1">
        <f t="shared" si="0"/>
        <v>1.9607843137254902E-2</v>
      </c>
      <c r="H23" t="b">
        <f t="shared" si="1"/>
        <v>1</v>
      </c>
      <c r="I23">
        <f t="shared" si="3"/>
        <v>159</v>
      </c>
      <c r="J23" t="b">
        <f t="shared" si="4"/>
        <v>0</v>
      </c>
      <c r="K23">
        <f t="shared" si="5"/>
        <v>0</v>
      </c>
      <c r="L23">
        <f t="shared" si="2"/>
        <v>1</v>
      </c>
      <c r="M23">
        <f t="shared" si="6"/>
        <v>0</v>
      </c>
    </row>
    <row r="24" spans="6:13" x14ac:dyDescent="0.35">
      <c r="F24">
        <v>750</v>
      </c>
      <c r="G24" s="1">
        <f t="shared" si="0"/>
        <v>1.9607843137254902E-2</v>
      </c>
      <c r="H24" t="b">
        <f t="shared" si="1"/>
        <v>1</v>
      </c>
      <c r="I24">
        <f t="shared" si="3"/>
        <v>159</v>
      </c>
      <c r="J24" t="b">
        <f t="shared" si="4"/>
        <v>0</v>
      </c>
      <c r="K24">
        <f t="shared" si="5"/>
        <v>0</v>
      </c>
      <c r="L24">
        <f t="shared" si="2"/>
        <v>1</v>
      </c>
      <c r="M24">
        <f t="shared" si="6"/>
        <v>0</v>
      </c>
    </row>
    <row r="25" spans="6:13" x14ac:dyDescent="0.35">
      <c r="F25">
        <v>755</v>
      </c>
      <c r="G25" s="1">
        <f t="shared" si="0"/>
        <v>1.9607843137254902E-2</v>
      </c>
      <c r="H25" t="b">
        <f t="shared" si="1"/>
        <v>1</v>
      </c>
      <c r="I25">
        <f t="shared" si="3"/>
        <v>159</v>
      </c>
      <c r="J25" t="b">
        <f t="shared" si="4"/>
        <v>0</v>
      </c>
      <c r="K25">
        <f t="shared" si="5"/>
        <v>0</v>
      </c>
      <c r="L25">
        <f>IF(AND(J25,$C$4&lt;=$C$2),(($C$1-$C$2)/($C$1-$C$4))^3,1)</f>
        <v>1</v>
      </c>
      <c r="M25">
        <f t="shared" si="6"/>
        <v>0</v>
      </c>
    </row>
    <row r="26" spans="6:13" x14ac:dyDescent="0.35">
      <c r="F26">
        <v>760</v>
      </c>
      <c r="G26" s="1">
        <f t="shared" si="0"/>
        <v>1.9607843137254902E-2</v>
      </c>
      <c r="H26" t="b">
        <f t="shared" si="1"/>
        <v>1</v>
      </c>
      <c r="I26">
        <f t="shared" si="3"/>
        <v>159</v>
      </c>
      <c r="J26" t="b">
        <f t="shared" si="4"/>
        <v>0</v>
      </c>
      <c r="K26">
        <f t="shared" si="5"/>
        <v>0</v>
      </c>
      <c r="L26">
        <f t="shared" ref="L26:L58" si="7">IF(AND(J26,$C$4&lt;=$C$2),(($C$1-$C$2)/($C$1-$C$4))^3,1)</f>
        <v>1</v>
      </c>
      <c r="M26">
        <f t="shared" si="6"/>
        <v>0</v>
      </c>
    </row>
    <row r="27" spans="6:13" x14ac:dyDescent="0.35">
      <c r="F27">
        <v>765</v>
      </c>
      <c r="G27" s="1">
        <f t="shared" si="0"/>
        <v>1.9607843137254902E-2</v>
      </c>
      <c r="H27" t="b">
        <f t="shared" si="1"/>
        <v>0</v>
      </c>
      <c r="I27">
        <f t="shared" si="3"/>
        <v>0</v>
      </c>
      <c r="J27" t="b">
        <f t="shared" si="4"/>
        <v>1</v>
      </c>
      <c r="K27">
        <f t="shared" si="5"/>
        <v>59</v>
      </c>
      <c r="L27">
        <f t="shared" si="7"/>
        <v>1</v>
      </c>
      <c r="M27">
        <f t="shared" si="6"/>
        <v>59</v>
      </c>
    </row>
    <row r="28" spans="6:13" x14ac:dyDescent="0.35">
      <c r="F28">
        <v>770</v>
      </c>
      <c r="G28" s="1">
        <f t="shared" si="0"/>
        <v>1.9607843137254902E-2</v>
      </c>
      <c r="H28" t="b">
        <f t="shared" si="1"/>
        <v>0</v>
      </c>
      <c r="I28">
        <f t="shared" si="3"/>
        <v>0</v>
      </c>
      <c r="J28" t="b">
        <f t="shared" si="4"/>
        <v>1</v>
      </c>
      <c r="K28">
        <f t="shared" si="5"/>
        <v>59</v>
      </c>
      <c r="L28">
        <f t="shared" si="7"/>
        <v>1</v>
      </c>
      <c r="M28">
        <f t="shared" si="6"/>
        <v>59</v>
      </c>
    </row>
    <row r="29" spans="6:13" x14ac:dyDescent="0.35">
      <c r="F29">
        <v>775</v>
      </c>
      <c r="G29" s="1">
        <f t="shared" si="0"/>
        <v>1.9607843137254902E-2</v>
      </c>
      <c r="H29" t="b">
        <f t="shared" si="1"/>
        <v>0</v>
      </c>
      <c r="I29">
        <f t="shared" si="3"/>
        <v>0</v>
      </c>
      <c r="J29" t="b">
        <f t="shared" si="4"/>
        <v>1</v>
      </c>
      <c r="K29">
        <f t="shared" si="5"/>
        <v>59</v>
      </c>
      <c r="L29">
        <f t="shared" si="7"/>
        <v>1</v>
      </c>
      <c r="M29">
        <f t="shared" si="6"/>
        <v>59</v>
      </c>
    </row>
    <row r="30" spans="6:13" x14ac:dyDescent="0.35">
      <c r="F30">
        <v>780</v>
      </c>
      <c r="G30" s="1">
        <f t="shared" si="0"/>
        <v>1.9607843137254902E-2</v>
      </c>
      <c r="H30" t="b">
        <f t="shared" si="1"/>
        <v>0</v>
      </c>
      <c r="I30">
        <f t="shared" si="3"/>
        <v>0</v>
      </c>
      <c r="J30" t="b">
        <f t="shared" si="4"/>
        <v>1</v>
      </c>
      <c r="K30">
        <f t="shared" si="5"/>
        <v>59</v>
      </c>
      <c r="L30">
        <f t="shared" si="7"/>
        <v>1</v>
      </c>
      <c r="M30">
        <f t="shared" si="6"/>
        <v>59</v>
      </c>
    </row>
    <row r="31" spans="6:13" x14ac:dyDescent="0.35">
      <c r="F31">
        <v>785</v>
      </c>
      <c r="G31" s="1">
        <f t="shared" si="0"/>
        <v>1.9607843137254902E-2</v>
      </c>
      <c r="H31" t="b">
        <f t="shared" si="1"/>
        <v>0</v>
      </c>
      <c r="I31">
        <f t="shared" si="3"/>
        <v>0</v>
      </c>
      <c r="J31" t="b">
        <f t="shared" si="4"/>
        <v>1</v>
      </c>
      <c r="K31">
        <f t="shared" si="5"/>
        <v>59</v>
      </c>
      <c r="L31">
        <f t="shared" si="7"/>
        <v>1</v>
      </c>
      <c r="M31">
        <f t="shared" si="6"/>
        <v>59</v>
      </c>
    </row>
    <row r="32" spans="6:13" x14ac:dyDescent="0.35">
      <c r="F32">
        <v>790</v>
      </c>
      <c r="G32" s="1">
        <f t="shared" si="0"/>
        <v>1.9607843137254902E-2</v>
      </c>
      <c r="H32" t="b">
        <f t="shared" si="1"/>
        <v>0</v>
      </c>
      <c r="I32">
        <f t="shared" si="3"/>
        <v>0</v>
      </c>
      <c r="J32" t="b">
        <f t="shared" si="4"/>
        <v>1</v>
      </c>
      <c r="K32">
        <f t="shared" si="5"/>
        <v>59</v>
      </c>
      <c r="L32">
        <f t="shared" si="7"/>
        <v>1</v>
      </c>
      <c r="M32">
        <f t="shared" si="6"/>
        <v>59</v>
      </c>
    </row>
    <row r="33" spans="6:13" x14ac:dyDescent="0.35">
      <c r="F33">
        <v>795</v>
      </c>
      <c r="G33" s="1">
        <f t="shared" si="0"/>
        <v>1.9607843137254902E-2</v>
      </c>
      <c r="H33" t="b">
        <f t="shared" si="1"/>
        <v>0</v>
      </c>
      <c r="I33">
        <f t="shared" si="3"/>
        <v>0</v>
      </c>
      <c r="J33" t="b">
        <f t="shared" si="4"/>
        <v>1</v>
      </c>
      <c r="K33">
        <f t="shared" si="5"/>
        <v>59</v>
      </c>
      <c r="L33">
        <f t="shared" si="7"/>
        <v>1</v>
      </c>
      <c r="M33">
        <f t="shared" si="6"/>
        <v>59</v>
      </c>
    </row>
    <row r="34" spans="6:13" x14ac:dyDescent="0.35">
      <c r="F34">
        <v>800</v>
      </c>
      <c r="G34" s="1">
        <f t="shared" si="0"/>
        <v>1.9607843137254902E-2</v>
      </c>
      <c r="H34" t="b">
        <f t="shared" si="1"/>
        <v>0</v>
      </c>
      <c r="I34">
        <f t="shared" si="3"/>
        <v>0</v>
      </c>
      <c r="J34" t="b">
        <f t="shared" si="4"/>
        <v>1</v>
      </c>
      <c r="K34">
        <f t="shared" si="5"/>
        <v>59</v>
      </c>
      <c r="L34">
        <f t="shared" si="7"/>
        <v>1</v>
      </c>
      <c r="M34">
        <f t="shared" si="6"/>
        <v>59</v>
      </c>
    </row>
    <row r="35" spans="6:13" x14ac:dyDescent="0.35">
      <c r="F35">
        <v>805</v>
      </c>
      <c r="G35" s="1">
        <f t="shared" si="0"/>
        <v>1.9607843137254902E-2</v>
      </c>
      <c r="H35" t="b">
        <f t="shared" si="1"/>
        <v>0</v>
      </c>
      <c r="I35">
        <f t="shared" si="3"/>
        <v>0</v>
      </c>
      <c r="J35" t="b">
        <f t="shared" si="4"/>
        <v>1</v>
      </c>
      <c r="K35">
        <f t="shared" si="5"/>
        <v>59</v>
      </c>
      <c r="L35">
        <f t="shared" si="7"/>
        <v>1</v>
      </c>
      <c r="M35">
        <f t="shared" si="6"/>
        <v>59</v>
      </c>
    </row>
    <row r="36" spans="6:13" x14ac:dyDescent="0.35">
      <c r="F36">
        <v>810</v>
      </c>
      <c r="G36" s="1">
        <f t="shared" si="0"/>
        <v>1.9607843137254902E-2</v>
      </c>
      <c r="H36" t="b">
        <f t="shared" si="1"/>
        <v>0</v>
      </c>
      <c r="I36">
        <f t="shared" si="3"/>
        <v>0</v>
      </c>
      <c r="J36" t="b">
        <f t="shared" si="4"/>
        <v>1</v>
      </c>
      <c r="K36">
        <f t="shared" si="5"/>
        <v>59</v>
      </c>
      <c r="L36">
        <f t="shared" si="7"/>
        <v>1</v>
      </c>
      <c r="M36">
        <f t="shared" si="6"/>
        <v>59</v>
      </c>
    </row>
    <row r="37" spans="6:13" x14ac:dyDescent="0.35">
      <c r="F37">
        <v>815</v>
      </c>
      <c r="G37" s="1">
        <f t="shared" si="0"/>
        <v>1.9607843137254902E-2</v>
      </c>
      <c r="H37" t="b">
        <f t="shared" si="1"/>
        <v>0</v>
      </c>
      <c r="I37">
        <f t="shared" si="3"/>
        <v>0</v>
      </c>
      <c r="J37" t="b">
        <f t="shared" si="4"/>
        <v>1</v>
      </c>
      <c r="K37">
        <f t="shared" si="5"/>
        <v>59</v>
      </c>
      <c r="L37">
        <f t="shared" si="7"/>
        <v>1</v>
      </c>
      <c r="M37">
        <f t="shared" si="6"/>
        <v>59</v>
      </c>
    </row>
    <row r="38" spans="6:13" x14ac:dyDescent="0.35">
      <c r="F38">
        <v>820</v>
      </c>
      <c r="G38" s="1">
        <f t="shared" si="0"/>
        <v>1.9607843137254902E-2</v>
      </c>
      <c r="H38" t="b">
        <f t="shared" si="1"/>
        <v>0</v>
      </c>
      <c r="I38">
        <f t="shared" si="3"/>
        <v>0</v>
      </c>
      <c r="J38" t="b">
        <f t="shared" si="4"/>
        <v>1</v>
      </c>
      <c r="K38">
        <f t="shared" si="5"/>
        <v>59</v>
      </c>
      <c r="L38">
        <f t="shared" si="7"/>
        <v>1</v>
      </c>
      <c r="M38">
        <f t="shared" si="6"/>
        <v>59</v>
      </c>
    </row>
    <row r="39" spans="6:13" x14ac:dyDescent="0.35">
      <c r="F39">
        <v>825</v>
      </c>
      <c r="G39" s="1">
        <f t="shared" si="0"/>
        <v>1.9607843137254902E-2</v>
      </c>
      <c r="H39" t="b">
        <f t="shared" si="1"/>
        <v>0</v>
      </c>
      <c r="I39">
        <f t="shared" si="3"/>
        <v>0</v>
      </c>
      <c r="J39" t="b">
        <f t="shared" si="4"/>
        <v>1</v>
      </c>
      <c r="K39">
        <f t="shared" si="5"/>
        <v>59</v>
      </c>
      <c r="L39">
        <f t="shared" si="7"/>
        <v>1</v>
      </c>
      <c r="M39">
        <f t="shared" si="6"/>
        <v>59</v>
      </c>
    </row>
    <row r="40" spans="6:13" x14ac:dyDescent="0.35">
      <c r="F40">
        <v>830</v>
      </c>
      <c r="G40" s="1">
        <f t="shared" ref="G40:G58" si="8">1/COUNT($F$8:$F$58)</f>
        <v>1.9607843137254902E-2</v>
      </c>
      <c r="H40" t="b">
        <f t="shared" ref="H40:H58" si="9">$C$3&gt;F40</f>
        <v>0</v>
      </c>
      <c r="I40">
        <f t="shared" si="3"/>
        <v>0</v>
      </c>
      <c r="J40" t="b">
        <f t="shared" si="4"/>
        <v>1</v>
      </c>
      <c r="K40">
        <f t="shared" si="5"/>
        <v>59</v>
      </c>
      <c r="L40">
        <f t="shared" si="7"/>
        <v>1</v>
      </c>
      <c r="M40">
        <f t="shared" si="6"/>
        <v>59</v>
      </c>
    </row>
    <row r="41" spans="6:13" x14ac:dyDescent="0.35">
      <c r="F41">
        <v>835</v>
      </c>
      <c r="G41" s="1">
        <f t="shared" si="8"/>
        <v>1.9607843137254902E-2</v>
      </c>
      <c r="H41" t="b">
        <f t="shared" si="9"/>
        <v>0</v>
      </c>
      <c r="I41">
        <f t="shared" si="3"/>
        <v>0</v>
      </c>
      <c r="J41" t="b">
        <f t="shared" si="4"/>
        <v>1</v>
      </c>
      <c r="K41">
        <f t="shared" si="5"/>
        <v>59</v>
      </c>
      <c r="L41">
        <f t="shared" si="7"/>
        <v>1</v>
      </c>
      <c r="M41">
        <f t="shared" si="6"/>
        <v>59</v>
      </c>
    </row>
    <row r="42" spans="6:13" x14ac:dyDescent="0.35">
      <c r="F42">
        <v>840</v>
      </c>
      <c r="G42" s="1">
        <f t="shared" si="8"/>
        <v>1.9607843137254902E-2</v>
      </c>
      <c r="H42" t="b">
        <f t="shared" si="9"/>
        <v>0</v>
      </c>
      <c r="I42">
        <f t="shared" si="3"/>
        <v>0</v>
      </c>
      <c r="J42" t="b">
        <f t="shared" si="4"/>
        <v>1</v>
      </c>
      <c r="K42">
        <f t="shared" si="5"/>
        <v>59</v>
      </c>
      <c r="L42">
        <f t="shared" si="7"/>
        <v>1</v>
      </c>
      <c r="M42">
        <f t="shared" si="6"/>
        <v>59</v>
      </c>
    </row>
    <row r="43" spans="6:13" x14ac:dyDescent="0.35">
      <c r="F43">
        <v>845</v>
      </c>
      <c r="G43" s="1">
        <f t="shared" si="8"/>
        <v>1.9607843137254902E-2</v>
      </c>
      <c r="H43" t="b">
        <f t="shared" si="9"/>
        <v>0</v>
      </c>
      <c r="I43">
        <f t="shared" si="3"/>
        <v>0</v>
      </c>
      <c r="J43" t="b">
        <f t="shared" si="4"/>
        <v>1</v>
      </c>
      <c r="K43">
        <f t="shared" si="5"/>
        <v>59</v>
      </c>
      <c r="L43">
        <f t="shared" si="7"/>
        <v>1</v>
      </c>
      <c r="M43">
        <f t="shared" si="6"/>
        <v>59</v>
      </c>
    </row>
    <row r="44" spans="6:13" x14ac:dyDescent="0.35">
      <c r="F44">
        <v>850</v>
      </c>
      <c r="G44" s="1">
        <f t="shared" si="8"/>
        <v>1.9607843137254902E-2</v>
      </c>
      <c r="H44" t="b">
        <f t="shared" si="9"/>
        <v>0</v>
      </c>
      <c r="I44">
        <f t="shared" si="3"/>
        <v>0</v>
      </c>
      <c r="J44" t="b">
        <f t="shared" si="4"/>
        <v>1</v>
      </c>
      <c r="K44">
        <f t="shared" si="5"/>
        <v>59</v>
      </c>
      <c r="L44">
        <f t="shared" si="7"/>
        <v>1</v>
      </c>
      <c r="M44">
        <f t="shared" si="6"/>
        <v>59</v>
      </c>
    </row>
    <row r="45" spans="6:13" x14ac:dyDescent="0.35">
      <c r="F45">
        <v>855</v>
      </c>
      <c r="G45" s="1">
        <f t="shared" si="8"/>
        <v>1.9607843137254902E-2</v>
      </c>
      <c r="H45" t="b">
        <f t="shared" si="9"/>
        <v>0</v>
      </c>
      <c r="I45">
        <f t="shared" si="3"/>
        <v>0</v>
      </c>
      <c r="J45" t="b">
        <f t="shared" si="4"/>
        <v>1</v>
      </c>
      <c r="K45">
        <f t="shared" si="5"/>
        <v>59</v>
      </c>
      <c r="L45">
        <f t="shared" si="7"/>
        <v>1</v>
      </c>
      <c r="M45">
        <f t="shared" si="6"/>
        <v>59</v>
      </c>
    </row>
    <row r="46" spans="6:13" x14ac:dyDescent="0.35">
      <c r="F46">
        <v>860</v>
      </c>
      <c r="G46" s="1">
        <f t="shared" si="8"/>
        <v>1.9607843137254902E-2</v>
      </c>
      <c r="H46" t="b">
        <f t="shared" si="9"/>
        <v>0</v>
      </c>
      <c r="I46">
        <f t="shared" si="3"/>
        <v>0</v>
      </c>
      <c r="J46" t="b">
        <f t="shared" si="4"/>
        <v>1</v>
      </c>
      <c r="K46">
        <f t="shared" si="5"/>
        <v>59</v>
      </c>
      <c r="L46">
        <f t="shared" si="7"/>
        <v>1</v>
      </c>
      <c r="M46">
        <f t="shared" si="6"/>
        <v>59</v>
      </c>
    </row>
    <row r="47" spans="6:13" x14ac:dyDescent="0.35">
      <c r="F47">
        <v>865</v>
      </c>
      <c r="G47" s="1">
        <f t="shared" si="8"/>
        <v>1.9607843137254902E-2</v>
      </c>
      <c r="H47" t="b">
        <f t="shared" si="9"/>
        <v>0</v>
      </c>
      <c r="I47">
        <f t="shared" si="3"/>
        <v>0</v>
      </c>
      <c r="J47" t="b">
        <f t="shared" si="4"/>
        <v>0</v>
      </c>
      <c r="K47">
        <f t="shared" si="5"/>
        <v>0</v>
      </c>
      <c r="L47">
        <f t="shared" si="7"/>
        <v>1</v>
      </c>
      <c r="M47">
        <f t="shared" si="6"/>
        <v>0</v>
      </c>
    </row>
    <row r="48" spans="6:13" x14ac:dyDescent="0.35">
      <c r="F48">
        <v>870</v>
      </c>
      <c r="G48" s="1">
        <f t="shared" si="8"/>
        <v>1.9607843137254902E-2</v>
      </c>
      <c r="H48" t="b">
        <f t="shared" si="9"/>
        <v>0</v>
      </c>
      <c r="I48">
        <f t="shared" si="3"/>
        <v>0</v>
      </c>
      <c r="J48" t="b">
        <f t="shared" si="4"/>
        <v>0</v>
      </c>
      <c r="K48">
        <f t="shared" si="5"/>
        <v>0</v>
      </c>
      <c r="L48">
        <f t="shared" si="7"/>
        <v>1</v>
      </c>
      <c r="M48">
        <f t="shared" si="6"/>
        <v>0</v>
      </c>
    </row>
    <row r="49" spans="6:14" x14ac:dyDescent="0.35">
      <c r="F49">
        <v>875</v>
      </c>
      <c r="G49" s="1">
        <f t="shared" si="8"/>
        <v>1.9607843137254902E-2</v>
      </c>
      <c r="H49" t="b">
        <f t="shared" si="9"/>
        <v>0</v>
      </c>
      <c r="I49">
        <f t="shared" si="3"/>
        <v>0</v>
      </c>
      <c r="J49" t="b">
        <f t="shared" si="4"/>
        <v>0</v>
      </c>
      <c r="K49">
        <f t="shared" si="5"/>
        <v>0</v>
      </c>
      <c r="L49">
        <f t="shared" si="7"/>
        <v>1</v>
      </c>
      <c r="M49">
        <f t="shared" si="6"/>
        <v>0</v>
      </c>
    </row>
    <row r="50" spans="6:14" x14ac:dyDescent="0.35">
      <c r="F50">
        <v>880</v>
      </c>
      <c r="G50" s="1">
        <f t="shared" si="8"/>
        <v>1.9607843137254902E-2</v>
      </c>
      <c r="H50" t="b">
        <f t="shared" si="9"/>
        <v>0</v>
      </c>
      <c r="I50">
        <f t="shared" si="3"/>
        <v>0</v>
      </c>
      <c r="J50" t="b">
        <f t="shared" si="4"/>
        <v>0</v>
      </c>
      <c r="K50">
        <f t="shared" si="5"/>
        <v>0</v>
      </c>
      <c r="L50">
        <f t="shared" si="7"/>
        <v>1</v>
      </c>
      <c r="M50">
        <f t="shared" si="6"/>
        <v>0</v>
      </c>
    </row>
    <row r="51" spans="6:14" x14ac:dyDescent="0.35">
      <c r="F51">
        <v>885</v>
      </c>
      <c r="G51" s="1">
        <f t="shared" si="8"/>
        <v>1.9607843137254902E-2</v>
      </c>
      <c r="H51" t="b">
        <f t="shared" si="9"/>
        <v>0</v>
      </c>
      <c r="I51">
        <f t="shared" si="3"/>
        <v>0</v>
      </c>
      <c r="J51" t="b">
        <f t="shared" si="4"/>
        <v>0</v>
      </c>
      <c r="K51">
        <f t="shared" si="5"/>
        <v>0</v>
      </c>
      <c r="L51">
        <f t="shared" si="7"/>
        <v>1</v>
      </c>
      <c r="M51">
        <f t="shared" si="6"/>
        <v>0</v>
      </c>
    </row>
    <row r="52" spans="6:14" x14ac:dyDescent="0.35">
      <c r="F52">
        <v>890</v>
      </c>
      <c r="G52" s="1">
        <f t="shared" si="8"/>
        <v>1.9607843137254902E-2</v>
      </c>
      <c r="H52" t="b">
        <f t="shared" si="9"/>
        <v>0</v>
      </c>
      <c r="I52">
        <f t="shared" si="3"/>
        <v>0</v>
      </c>
      <c r="J52" t="b">
        <f t="shared" si="4"/>
        <v>0</v>
      </c>
      <c r="K52">
        <f t="shared" si="5"/>
        <v>0</v>
      </c>
      <c r="L52">
        <f t="shared" si="7"/>
        <v>1</v>
      </c>
      <c r="M52">
        <f t="shared" si="6"/>
        <v>0</v>
      </c>
    </row>
    <row r="53" spans="6:14" x14ac:dyDescent="0.35">
      <c r="F53">
        <v>895</v>
      </c>
      <c r="G53" s="1">
        <f t="shared" si="8"/>
        <v>1.9607843137254902E-2</v>
      </c>
      <c r="H53" t="b">
        <f t="shared" si="9"/>
        <v>0</v>
      </c>
      <c r="I53">
        <f t="shared" si="3"/>
        <v>0</v>
      </c>
      <c r="J53" t="b">
        <f t="shared" si="4"/>
        <v>0</v>
      </c>
      <c r="K53">
        <f t="shared" si="5"/>
        <v>0</v>
      </c>
      <c r="L53">
        <f t="shared" si="7"/>
        <v>1</v>
      </c>
      <c r="M53">
        <f t="shared" si="6"/>
        <v>0</v>
      </c>
    </row>
    <row r="54" spans="6:14" x14ac:dyDescent="0.35">
      <c r="F54">
        <v>900</v>
      </c>
      <c r="G54" s="1">
        <f t="shared" si="8"/>
        <v>1.9607843137254902E-2</v>
      </c>
      <c r="H54" t="b">
        <f t="shared" si="9"/>
        <v>0</v>
      </c>
      <c r="I54">
        <f t="shared" si="3"/>
        <v>0</v>
      </c>
      <c r="J54" t="b">
        <f t="shared" si="4"/>
        <v>0</v>
      </c>
      <c r="K54">
        <f t="shared" si="5"/>
        <v>0</v>
      </c>
      <c r="L54">
        <f t="shared" si="7"/>
        <v>1</v>
      </c>
      <c r="M54">
        <f t="shared" si="6"/>
        <v>0</v>
      </c>
    </row>
    <row r="55" spans="6:14" x14ac:dyDescent="0.35">
      <c r="F55">
        <v>905</v>
      </c>
      <c r="G55" s="1">
        <f t="shared" si="8"/>
        <v>1.9607843137254902E-2</v>
      </c>
      <c r="H55" t="b">
        <f t="shared" si="9"/>
        <v>0</v>
      </c>
      <c r="I55">
        <f t="shared" si="3"/>
        <v>0</v>
      </c>
      <c r="J55" t="b">
        <f t="shared" si="4"/>
        <v>0</v>
      </c>
      <c r="K55">
        <f t="shared" si="5"/>
        <v>0</v>
      </c>
      <c r="L55">
        <f t="shared" si="7"/>
        <v>1</v>
      </c>
      <c r="M55">
        <f t="shared" si="6"/>
        <v>0</v>
      </c>
    </row>
    <row r="56" spans="6:14" x14ac:dyDescent="0.35">
      <c r="F56">
        <v>910</v>
      </c>
      <c r="G56" s="1">
        <f t="shared" si="8"/>
        <v>1.9607843137254902E-2</v>
      </c>
      <c r="H56" t="b">
        <f t="shared" si="9"/>
        <v>0</v>
      </c>
      <c r="I56">
        <f t="shared" si="3"/>
        <v>0</v>
      </c>
      <c r="J56" t="b">
        <f t="shared" si="4"/>
        <v>0</v>
      </c>
      <c r="K56">
        <f t="shared" si="5"/>
        <v>0</v>
      </c>
      <c r="L56">
        <f t="shared" si="7"/>
        <v>1</v>
      </c>
      <c r="M56">
        <f t="shared" si="6"/>
        <v>0</v>
      </c>
    </row>
    <row r="57" spans="6:14" x14ac:dyDescent="0.35">
      <c r="F57">
        <v>915</v>
      </c>
      <c r="G57" s="1">
        <f t="shared" si="8"/>
        <v>1.9607843137254902E-2</v>
      </c>
      <c r="H57" t="b">
        <f t="shared" si="9"/>
        <v>0</v>
      </c>
      <c r="I57">
        <f t="shared" si="3"/>
        <v>0</v>
      </c>
      <c r="J57" t="b">
        <f t="shared" si="4"/>
        <v>0</v>
      </c>
      <c r="K57">
        <f t="shared" si="5"/>
        <v>0</v>
      </c>
      <c r="L57">
        <f t="shared" si="7"/>
        <v>1</v>
      </c>
      <c r="M57">
        <f t="shared" si="6"/>
        <v>0</v>
      </c>
    </row>
    <row r="58" spans="6:14" x14ac:dyDescent="0.35">
      <c r="F58">
        <v>920</v>
      </c>
      <c r="G58" s="1">
        <f t="shared" si="8"/>
        <v>1.9607843137254902E-2</v>
      </c>
      <c r="H58" t="b">
        <f t="shared" si="9"/>
        <v>0</v>
      </c>
      <c r="I58">
        <f t="shared" si="3"/>
        <v>0</v>
      </c>
      <c r="J58" t="b">
        <f t="shared" si="4"/>
        <v>0</v>
      </c>
      <c r="K58">
        <f t="shared" si="5"/>
        <v>0</v>
      </c>
      <c r="L58">
        <f t="shared" si="7"/>
        <v>1</v>
      </c>
      <c r="M58">
        <f t="shared" si="6"/>
        <v>0</v>
      </c>
    </row>
    <row r="59" spans="6:14" x14ac:dyDescent="0.35">
      <c r="I59">
        <f>SUM(I8:I58)</f>
        <v>3021</v>
      </c>
      <c r="M59">
        <f>SUM(M8:M58)</f>
        <v>1180</v>
      </c>
      <c r="N59">
        <f>SUM(I59,M59)</f>
        <v>4201</v>
      </c>
    </row>
    <row r="62" spans="6:14" x14ac:dyDescent="0.35">
      <c r="M62" t="s">
        <v>14</v>
      </c>
      <c r="N62">
        <f>N59/4301</f>
        <v>0.97674959311787957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Simplified (no other players)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Tan</dc:creator>
  <cp:lastModifiedBy>Oscar Tan</cp:lastModifiedBy>
  <dcterms:created xsi:type="dcterms:W3CDTF">2026-04-25T06:22:46Z</dcterms:created>
  <dcterms:modified xsi:type="dcterms:W3CDTF">2026-04-26T07:57:29Z</dcterms:modified>
</cp:coreProperties>
</file>