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Manual Trading/Day 2/"/>
    </mc:Choice>
  </mc:AlternateContent>
  <xr:revisionPtr revIDLastSave="187" documentId="11_3C91D1A4D360D04F55E2DCF0505ED87656CD3EF8" xr6:coauthVersionLast="47" xr6:coauthVersionMax="47" xr10:uidLastSave="{57673FE8-D3E5-455D-915B-B7607BA1847A}"/>
  <bookViews>
    <workbookView xWindow="-110" yWindow="-110" windowWidth="19420" windowHeight="12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5" i="1" l="1"/>
  <c r="W104" i="1"/>
  <c r="S2" i="1"/>
  <c r="P102" i="1"/>
  <c r="S10" i="1"/>
  <c r="S22" i="1"/>
  <c r="S23" i="1"/>
  <c r="S35" i="1"/>
  <c r="S46" i="1"/>
  <c r="S47" i="1"/>
  <c r="S58" i="1"/>
  <c r="S59" i="1"/>
  <c r="S70" i="1"/>
  <c r="S82" i="1"/>
  <c r="S94" i="1"/>
  <c r="S95" i="1"/>
  <c r="R3" i="1"/>
  <c r="S3" i="1" s="1"/>
  <c r="R4" i="1"/>
  <c r="S4" i="1" s="1"/>
  <c r="R5" i="1"/>
  <c r="S5" i="1" s="1"/>
  <c r="R6" i="1"/>
  <c r="S6" i="1" s="1"/>
  <c r="R7" i="1"/>
  <c r="S7" i="1" s="1"/>
  <c r="R8" i="1"/>
  <c r="S8" i="1" s="1"/>
  <c r="R9" i="1"/>
  <c r="S9" i="1" s="1"/>
  <c r="R10" i="1"/>
  <c r="R11" i="1"/>
  <c r="S11" i="1" s="1"/>
  <c r="R12" i="1"/>
  <c r="S12" i="1" s="1"/>
  <c r="R13" i="1"/>
  <c r="S13" i="1" s="1"/>
  <c r="R14" i="1"/>
  <c r="S14" i="1" s="1"/>
  <c r="R15" i="1"/>
  <c r="S15" i="1" s="1"/>
  <c r="R16" i="1"/>
  <c r="S16" i="1" s="1"/>
  <c r="R17" i="1"/>
  <c r="S17" i="1" s="1"/>
  <c r="R18" i="1"/>
  <c r="S18" i="1" s="1"/>
  <c r="R19" i="1"/>
  <c r="S19" i="1" s="1"/>
  <c r="R20" i="1"/>
  <c r="S20" i="1" s="1"/>
  <c r="R21" i="1"/>
  <c r="S21" i="1" s="1"/>
  <c r="R22" i="1"/>
  <c r="R23" i="1"/>
  <c r="R24" i="1"/>
  <c r="S24" i="1" s="1"/>
  <c r="R25" i="1"/>
  <c r="S25" i="1" s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S32" i="1" s="1"/>
  <c r="R33" i="1"/>
  <c r="S33" i="1" s="1"/>
  <c r="R34" i="1"/>
  <c r="S34" i="1" s="1"/>
  <c r="R35" i="1"/>
  <c r="R36" i="1"/>
  <c r="S36" i="1" s="1"/>
  <c r="R37" i="1"/>
  <c r="S37" i="1" s="1"/>
  <c r="R38" i="1"/>
  <c r="S38" i="1" s="1"/>
  <c r="R39" i="1"/>
  <c r="S39" i="1" s="1"/>
  <c r="R40" i="1"/>
  <c r="S40" i="1" s="1"/>
  <c r="R41" i="1"/>
  <c r="S41" i="1" s="1"/>
  <c r="R42" i="1"/>
  <c r="S42" i="1" s="1"/>
  <c r="R43" i="1"/>
  <c r="S43" i="1" s="1"/>
  <c r="R44" i="1"/>
  <c r="S44" i="1" s="1"/>
  <c r="R45" i="1"/>
  <c r="S45" i="1" s="1"/>
  <c r="R46" i="1"/>
  <c r="R47" i="1"/>
  <c r="R48" i="1"/>
  <c r="S48" i="1" s="1"/>
  <c r="R49" i="1"/>
  <c r="S49" i="1" s="1"/>
  <c r="R50" i="1"/>
  <c r="S50" i="1" s="1"/>
  <c r="R51" i="1"/>
  <c r="S51" i="1" s="1"/>
  <c r="R52" i="1"/>
  <c r="S52" i="1" s="1"/>
  <c r="R53" i="1"/>
  <c r="S53" i="1" s="1"/>
  <c r="R54" i="1"/>
  <c r="S54" i="1" s="1"/>
  <c r="R55" i="1"/>
  <c r="S55" i="1" s="1"/>
  <c r="R56" i="1"/>
  <c r="S56" i="1" s="1"/>
  <c r="R57" i="1"/>
  <c r="S57" i="1" s="1"/>
  <c r="R58" i="1"/>
  <c r="R59" i="1"/>
  <c r="R60" i="1"/>
  <c r="S60" i="1" s="1"/>
  <c r="R61" i="1"/>
  <c r="S61" i="1" s="1"/>
  <c r="R62" i="1"/>
  <c r="S62" i="1" s="1"/>
  <c r="R63" i="1"/>
  <c r="S63" i="1" s="1"/>
  <c r="R64" i="1"/>
  <c r="S64" i="1" s="1"/>
  <c r="R65" i="1"/>
  <c r="S65" i="1" s="1"/>
  <c r="R66" i="1"/>
  <c r="S66" i="1" s="1"/>
  <c r="R67" i="1"/>
  <c r="S67" i="1" s="1"/>
  <c r="R68" i="1"/>
  <c r="S68" i="1" s="1"/>
  <c r="R69" i="1"/>
  <c r="S69" i="1" s="1"/>
  <c r="R70" i="1"/>
  <c r="R71" i="1"/>
  <c r="S71" i="1" s="1"/>
  <c r="R72" i="1"/>
  <c r="S72" i="1" s="1"/>
  <c r="R73" i="1"/>
  <c r="S73" i="1" s="1"/>
  <c r="R74" i="1"/>
  <c r="S74" i="1" s="1"/>
  <c r="R75" i="1"/>
  <c r="S75" i="1" s="1"/>
  <c r="R76" i="1"/>
  <c r="S76" i="1" s="1"/>
  <c r="R77" i="1"/>
  <c r="S77" i="1" s="1"/>
  <c r="R78" i="1"/>
  <c r="S78" i="1" s="1"/>
  <c r="R79" i="1"/>
  <c r="S79" i="1" s="1"/>
  <c r="R80" i="1"/>
  <c r="S80" i="1" s="1"/>
  <c r="R81" i="1"/>
  <c r="S81" i="1" s="1"/>
  <c r="R82" i="1"/>
  <c r="R83" i="1"/>
  <c r="S83" i="1" s="1"/>
  <c r="R84" i="1"/>
  <c r="S84" i="1" s="1"/>
  <c r="R85" i="1"/>
  <c r="S85" i="1" s="1"/>
  <c r="R86" i="1"/>
  <c r="S86" i="1" s="1"/>
  <c r="R87" i="1"/>
  <c r="S87" i="1" s="1"/>
  <c r="R88" i="1"/>
  <c r="S88" i="1" s="1"/>
  <c r="R89" i="1"/>
  <c r="S89" i="1" s="1"/>
  <c r="R90" i="1"/>
  <c r="S90" i="1" s="1"/>
  <c r="R91" i="1"/>
  <c r="S91" i="1" s="1"/>
  <c r="R92" i="1"/>
  <c r="S92" i="1" s="1"/>
  <c r="R93" i="1"/>
  <c r="S93" i="1" s="1"/>
  <c r="R94" i="1"/>
  <c r="R95" i="1"/>
  <c r="R96" i="1"/>
  <c r="S96" i="1" s="1"/>
  <c r="R97" i="1"/>
  <c r="S97" i="1" s="1"/>
  <c r="R98" i="1"/>
  <c r="S98" i="1" s="1"/>
  <c r="R99" i="1"/>
  <c r="S99" i="1" s="1"/>
  <c r="R100" i="1"/>
  <c r="S100" i="1" s="1"/>
  <c r="R101" i="1"/>
  <c r="S101" i="1" s="1"/>
  <c r="R102" i="1"/>
  <c r="S102" i="1" s="1"/>
  <c r="R2" i="1"/>
  <c r="P10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2" i="1"/>
  <c r="O2" i="1"/>
  <c r="E4" i="1"/>
  <c r="F4" i="1" s="1"/>
  <c r="E5" i="1"/>
  <c r="F5" i="1" s="1"/>
  <c r="E6" i="1"/>
  <c r="F6" i="1" s="1"/>
  <c r="E7" i="1"/>
  <c r="F7" i="1" s="1"/>
  <c r="E12" i="1"/>
  <c r="F12" i="1" s="1"/>
  <c r="E13" i="1"/>
  <c r="F13" i="1" s="1"/>
  <c r="E14" i="1"/>
  <c r="F14" i="1" s="1"/>
  <c r="E16" i="1"/>
  <c r="E17" i="1"/>
  <c r="E18" i="1"/>
  <c r="E19" i="1"/>
  <c r="E28" i="1"/>
  <c r="E29" i="1"/>
  <c r="F29" i="1" s="1"/>
  <c r="E30" i="1"/>
  <c r="F30" i="1" s="1"/>
  <c r="E40" i="1"/>
  <c r="E41" i="1"/>
  <c r="E42" i="1"/>
  <c r="F42" i="1" s="1"/>
  <c r="E43" i="1"/>
  <c r="F43" i="1" s="1"/>
  <c r="E48" i="1"/>
  <c r="F48" i="1" s="1"/>
  <c r="E49" i="1"/>
  <c r="F49" i="1" s="1"/>
  <c r="E50" i="1"/>
  <c r="F50" i="1" s="1"/>
  <c r="E52" i="1"/>
  <c r="E53" i="1"/>
  <c r="E54" i="1"/>
  <c r="F54" i="1" s="1"/>
  <c r="E55" i="1"/>
  <c r="F55" i="1" s="1"/>
  <c r="E64" i="1"/>
  <c r="F64" i="1" s="1"/>
  <c r="E65" i="1"/>
  <c r="F65" i="1" s="1"/>
  <c r="E66" i="1"/>
  <c r="F66" i="1" s="1"/>
  <c r="E76" i="1"/>
  <c r="E77" i="1"/>
  <c r="E78" i="1"/>
  <c r="E79" i="1"/>
  <c r="E84" i="1"/>
  <c r="F84" i="1" s="1"/>
  <c r="E85" i="1"/>
  <c r="F85" i="1" s="1"/>
  <c r="E86" i="1"/>
  <c r="F86" i="1" s="1"/>
  <c r="E88" i="1"/>
  <c r="F88" i="1" s="1"/>
  <c r="E89" i="1"/>
  <c r="F89" i="1" s="1"/>
  <c r="E90" i="1"/>
  <c r="F90" i="1" s="1"/>
  <c r="E91" i="1"/>
  <c r="F91" i="1" s="1"/>
  <c r="E100" i="1"/>
  <c r="F100" i="1" s="1"/>
  <c r="E101" i="1"/>
  <c r="F101" i="1" s="1"/>
  <c r="E102" i="1"/>
  <c r="E2" i="1"/>
  <c r="F2" i="1" s="1"/>
  <c r="F8" i="1"/>
  <c r="F9" i="1"/>
  <c r="F16" i="1"/>
  <c r="F17" i="1"/>
  <c r="F18" i="1"/>
  <c r="F19" i="1"/>
  <c r="F28" i="1"/>
  <c r="F40" i="1"/>
  <c r="F41" i="1"/>
  <c r="F45" i="1"/>
  <c r="F52" i="1"/>
  <c r="F53" i="1"/>
  <c r="F68" i="1"/>
  <c r="F69" i="1"/>
  <c r="F76" i="1"/>
  <c r="F77" i="1"/>
  <c r="F78" i="1"/>
  <c r="F79" i="1"/>
  <c r="F92" i="1"/>
  <c r="F93" i="1"/>
  <c r="F102" i="1"/>
  <c r="D3" i="1"/>
  <c r="E3" i="1" s="1"/>
  <c r="F3" i="1" s="1"/>
  <c r="D4" i="1"/>
  <c r="D5" i="1"/>
  <c r="D6" i="1"/>
  <c r="D7" i="1"/>
  <c r="D8" i="1"/>
  <c r="E8" i="1" s="1"/>
  <c r="D9" i="1"/>
  <c r="E9" i="1" s="1"/>
  <c r="D10" i="1"/>
  <c r="E10" i="1" s="1"/>
  <c r="F10" i="1" s="1"/>
  <c r="D11" i="1"/>
  <c r="E11" i="1" s="1"/>
  <c r="F11" i="1" s="1"/>
  <c r="D12" i="1"/>
  <c r="D13" i="1"/>
  <c r="D14" i="1"/>
  <c r="D15" i="1"/>
  <c r="E15" i="1" s="1"/>
  <c r="F15" i="1" s="1"/>
  <c r="D16" i="1"/>
  <c r="D17" i="1"/>
  <c r="D18" i="1"/>
  <c r="D19" i="1"/>
  <c r="D20" i="1"/>
  <c r="E20" i="1" s="1"/>
  <c r="F20" i="1" s="1"/>
  <c r="D21" i="1"/>
  <c r="E21" i="1" s="1"/>
  <c r="F21" i="1" s="1"/>
  <c r="D22" i="1"/>
  <c r="E22" i="1" s="1"/>
  <c r="F22" i="1" s="1"/>
  <c r="D23" i="1"/>
  <c r="E23" i="1" s="1"/>
  <c r="F23" i="1" s="1"/>
  <c r="D24" i="1"/>
  <c r="E24" i="1" s="1"/>
  <c r="F24" i="1" s="1"/>
  <c r="D25" i="1"/>
  <c r="E25" i="1" s="1"/>
  <c r="F25" i="1" s="1"/>
  <c r="D26" i="1"/>
  <c r="E26" i="1" s="1"/>
  <c r="F26" i="1" s="1"/>
  <c r="D27" i="1"/>
  <c r="E27" i="1" s="1"/>
  <c r="F27" i="1" s="1"/>
  <c r="D28" i="1"/>
  <c r="D29" i="1"/>
  <c r="D30" i="1"/>
  <c r="D31" i="1"/>
  <c r="E31" i="1" s="1"/>
  <c r="F31" i="1" s="1"/>
  <c r="D32" i="1"/>
  <c r="E32" i="1" s="1"/>
  <c r="F32" i="1" s="1"/>
  <c r="D33" i="1"/>
  <c r="E33" i="1" s="1"/>
  <c r="F33" i="1" s="1"/>
  <c r="D34" i="1"/>
  <c r="E34" i="1" s="1"/>
  <c r="F34" i="1" s="1"/>
  <c r="D35" i="1"/>
  <c r="E35" i="1" s="1"/>
  <c r="F35" i="1" s="1"/>
  <c r="D36" i="1"/>
  <c r="E36" i="1" s="1"/>
  <c r="F36" i="1" s="1"/>
  <c r="D37" i="1"/>
  <c r="E37" i="1" s="1"/>
  <c r="F37" i="1" s="1"/>
  <c r="D38" i="1"/>
  <c r="E38" i="1" s="1"/>
  <c r="F38" i="1" s="1"/>
  <c r="D39" i="1"/>
  <c r="E39" i="1" s="1"/>
  <c r="F39" i="1" s="1"/>
  <c r="D40" i="1"/>
  <c r="D41" i="1"/>
  <c r="D42" i="1"/>
  <c r="D43" i="1"/>
  <c r="D44" i="1"/>
  <c r="E44" i="1" s="1"/>
  <c r="F44" i="1" s="1"/>
  <c r="D45" i="1"/>
  <c r="E45" i="1" s="1"/>
  <c r="D46" i="1"/>
  <c r="E46" i="1" s="1"/>
  <c r="F46" i="1" s="1"/>
  <c r="D47" i="1"/>
  <c r="E47" i="1" s="1"/>
  <c r="F47" i="1" s="1"/>
  <c r="D48" i="1"/>
  <c r="D49" i="1"/>
  <c r="D50" i="1"/>
  <c r="D51" i="1"/>
  <c r="E51" i="1" s="1"/>
  <c r="F51" i="1" s="1"/>
  <c r="D52" i="1"/>
  <c r="D53" i="1"/>
  <c r="D54" i="1"/>
  <c r="D55" i="1"/>
  <c r="D56" i="1"/>
  <c r="E56" i="1" s="1"/>
  <c r="F56" i="1" s="1"/>
  <c r="D57" i="1"/>
  <c r="E57" i="1" s="1"/>
  <c r="F57" i="1" s="1"/>
  <c r="D58" i="1"/>
  <c r="E58" i="1" s="1"/>
  <c r="F58" i="1" s="1"/>
  <c r="D59" i="1"/>
  <c r="E59" i="1" s="1"/>
  <c r="F59" i="1" s="1"/>
  <c r="D60" i="1"/>
  <c r="E60" i="1" s="1"/>
  <c r="F60" i="1" s="1"/>
  <c r="D61" i="1"/>
  <c r="E61" i="1" s="1"/>
  <c r="F61" i="1" s="1"/>
  <c r="D62" i="1"/>
  <c r="E62" i="1" s="1"/>
  <c r="F62" i="1" s="1"/>
  <c r="D63" i="1"/>
  <c r="E63" i="1" s="1"/>
  <c r="F63" i="1" s="1"/>
  <c r="D64" i="1"/>
  <c r="D65" i="1"/>
  <c r="D66" i="1"/>
  <c r="D67" i="1"/>
  <c r="E67" i="1" s="1"/>
  <c r="F67" i="1" s="1"/>
  <c r="D68" i="1"/>
  <c r="E68" i="1" s="1"/>
  <c r="D69" i="1"/>
  <c r="E69" i="1" s="1"/>
  <c r="D70" i="1"/>
  <c r="E70" i="1" s="1"/>
  <c r="F70" i="1" s="1"/>
  <c r="D71" i="1"/>
  <c r="E71" i="1" s="1"/>
  <c r="F71" i="1" s="1"/>
  <c r="D72" i="1"/>
  <c r="E72" i="1" s="1"/>
  <c r="F72" i="1" s="1"/>
  <c r="D73" i="1"/>
  <c r="E73" i="1" s="1"/>
  <c r="F73" i="1" s="1"/>
  <c r="D74" i="1"/>
  <c r="E74" i="1" s="1"/>
  <c r="F74" i="1" s="1"/>
  <c r="D75" i="1"/>
  <c r="E75" i="1" s="1"/>
  <c r="F75" i="1" s="1"/>
  <c r="D76" i="1"/>
  <c r="D77" i="1"/>
  <c r="D78" i="1"/>
  <c r="D79" i="1"/>
  <c r="D80" i="1"/>
  <c r="E80" i="1" s="1"/>
  <c r="F80" i="1" s="1"/>
  <c r="D81" i="1"/>
  <c r="E81" i="1" s="1"/>
  <c r="F81" i="1" s="1"/>
  <c r="D82" i="1"/>
  <c r="E82" i="1" s="1"/>
  <c r="F82" i="1" s="1"/>
  <c r="D83" i="1"/>
  <c r="E83" i="1" s="1"/>
  <c r="F83" i="1" s="1"/>
  <c r="D84" i="1"/>
  <c r="D85" i="1"/>
  <c r="D86" i="1"/>
  <c r="D87" i="1"/>
  <c r="E87" i="1" s="1"/>
  <c r="F87" i="1" s="1"/>
  <c r="D88" i="1"/>
  <c r="D89" i="1"/>
  <c r="D90" i="1"/>
  <c r="D91" i="1"/>
  <c r="D92" i="1"/>
  <c r="E92" i="1" s="1"/>
  <c r="D93" i="1"/>
  <c r="E93" i="1" s="1"/>
  <c r="D94" i="1"/>
  <c r="E94" i="1" s="1"/>
  <c r="F94" i="1" s="1"/>
  <c r="D95" i="1"/>
  <c r="E95" i="1" s="1"/>
  <c r="F95" i="1" s="1"/>
  <c r="D96" i="1"/>
  <c r="E96" i="1" s="1"/>
  <c r="F96" i="1" s="1"/>
  <c r="D97" i="1"/>
  <c r="E97" i="1" s="1"/>
  <c r="F97" i="1" s="1"/>
  <c r="D98" i="1"/>
  <c r="E98" i="1" s="1"/>
  <c r="F98" i="1" s="1"/>
  <c r="D99" i="1"/>
  <c r="E99" i="1" s="1"/>
  <c r="F99" i="1" s="1"/>
  <c r="D100" i="1"/>
  <c r="D101" i="1"/>
  <c r="D102" i="1"/>
  <c r="D2" i="1"/>
  <c r="F103" i="1" l="1"/>
  <c r="F104" i="1" s="1"/>
  <c r="T74" i="1" l="1"/>
  <c r="T100" i="1"/>
  <c r="T17" i="1"/>
  <c r="T98" i="1"/>
  <c r="T24" i="1"/>
  <c r="T19" i="1"/>
  <c r="T32" i="1"/>
  <c r="T45" i="1"/>
  <c r="T59" i="1"/>
  <c r="T69" i="1"/>
  <c r="T41" i="1"/>
  <c r="T72" i="1"/>
  <c r="T15" i="1"/>
  <c r="T80" i="1"/>
  <c r="T13" i="1"/>
  <c r="T43" i="1"/>
  <c r="T23" i="1"/>
  <c r="T68" i="1"/>
  <c r="T61" i="1"/>
  <c r="T62" i="1"/>
  <c r="T82" i="1"/>
  <c r="T86" i="1"/>
  <c r="T31" i="1"/>
  <c r="T76" i="1"/>
  <c r="T84" i="1"/>
  <c r="T22" i="1"/>
  <c r="T90" i="1"/>
  <c r="T88" i="1"/>
  <c r="T85" i="1"/>
  <c r="T75" i="1"/>
  <c r="T89" i="1"/>
  <c r="T12" i="1"/>
  <c r="T4" i="1"/>
  <c r="T58" i="1"/>
  <c r="T39" i="1"/>
  <c r="T83" i="1"/>
  <c r="T91" i="1"/>
  <c r="T77" i="1"/>
  <c r="T99" i="1"/>
  <c r="T70" i="1"/>
  <c r="T37" i="1"/>
  <c r="T26" i="1"/>
  <c r="T21" i="1"/>
  <c r="T54" i="1"/>
  <c r="T49" i="1"/>
  <c r="T9" i="1"/>
  <c r="T33" i="1"/>
  <c r="T3" i="1"/>
  <c r="T28" i="1"/>
  <c r="T16" i="1"/>
  <c r="T64" i="1"/>
  <c r="T10" i="1"/>
  <c r="T25" i="1"/>
  <c r="T93" i="1"/>
  <c r="T47" i="1"/>
  <c r="T96" i="1"/>
  <c r="T65" i="1"/>
  <c r="T63" i="1"/>
  <c r="T101" i="1"/>
  <c r="T73" i="1"/>
  <c r="T8" i="1"/>
  <c r="T56" i="1"/>
  <c r="T2" i="1"/>
  <c r="T79" i="1"/>
  <c r="T95" i="1"/>
  <c r="T42" i="1"/>
  <c r="T81" i="1"/>
  <c r="T57" i="1"/>
  <c r="T60" i="1"/>
  <c r="T66" i="1"/>
  <c r="T6" i="1"/>
  <c r="T40" i="1"/>
  <c r="T97" i="1"/>
  <c r="T5" i="1"/>
  <c r="T20" i="1"/>
  <c r="T87" i="1"/>
  <c r="T44" i="1"/>
  <c r="T50" i="1"/>
  <c r="T55" i="1"/>
  <c r="T35" i="1"/>
  <c r="T38" i="1"/>
  <c r="T34" i="1"/>
  <c r="T27" i="1"/>
  <c r="T51" i="1"/>
  <c r="T46" i="1"/>
  <c r="T7" i="1"/>
  <c r="T78" i="1"/>
  <c r="T36" i="1"/>
  <c r="T71" i="1"/>
  <c r="T102" i="1"/>
  <c r="T52" i="1"/>
  <c r="T29" i="1"/>
  <c r="T30" i="1"/>
  <c r="T18" i="1"/>
  <c r="T11" i="1"/>
  <c r="T67" i="1"/>
  <c r="T14" i="1"/>
  <c r="T48" i="1"/>
  <c r="T92" i="1"/>
  <c r="T53" i="1"/>
  <c r="T94" i="1"/>
  <c r="U40" i="1" l="1"/>
  <c r="W40" i="1" s="1"/>
  <c r="U73" i="1"/>
  <c r="W73" i="1" s="1"/>
  <c r="U3" i="1"/>
  <c r="W3" i="1" s="1"/>
  <c r="U72" i="1"/>
  <c r="W72" i="1" s="1"/>
  <c r="U27" i="1"/>
  <c r="W27" i="1" s="1"/>
  <c r="U6" i="1"/>
  <c r="W6" i="1" s="1"/>
  <c r="U39" i="1"/>
  <c r="W39" i="1" s="1"/>
  <c r="U41" i="1"/>
  <c r="W41" i="1" s="1"/>
  <c r="U18" i="1"/>
  <c r="W18" i="1" s="1"/>
  <c r="U63" i="1"/>
  <c r="W63" i="1" s="1"/>
  <c r="U9" i="1"/>
  <c r="W9" i="1" s="1"/>
  <c r="U69" i="1"/>
  <c r="W69" i="1" s="1"/>
  <c r="U60" i="1"/>
  <c r="W60" i="1" s="1"/>
  <c r="U65" i="1"/>
  <c r="W65" i="1" s="1"/>
  <c r="U4" i="1"/>
  <c r="W4" i="1" s="1"/>
  <c r="U59" i="1"/>
  <c r="W59" i="1" s="1"/>
  <c r="U29" i="1"/>
  <c r="W29" i="1" s="1"/>
  <c r="U57" i="1"/>
  <c r="W57" i="1" s="1"/>
  <c r="U54" i="1"/>
  <c r="W54" i="1" s="1"/>
  <c r="U12" i="1"/>
  <c r="W12" i="1" s="1"/>
  <c r="U52" i="1"/>
  <c r="W52" i="1" s="1"/>
  <c r="U81" i="1"/>
  <c r="W81" i="1" s="1"/>
  <c r="U21" i="1"/>
  <c r="W21" i="1" s="1"/>
  <c r="U61" i="1"/>
  <c r="W61" i="1" s="1"/>
  <c r="U102" i="1"/>
  <c r="W102" i="1" s="1"/>
  <c r="U42" i="1"/>
  <c r="W42" i="1" s="1"/>
  <c r="U68" i="1"/>
  <c r="W68" i="1" s="1"/>
  <c r="U19" i="1"/>
  <c r="W19" i="1" s="1"/>
  <c r="U94" i="1"/>
  <c r="W94" i="1" s="1"/>
  <c r="U95" i="1"/>
  <c r="W95" i="1" s="1"/>
  <c r="U37" i="1"/>
  <c r="W37" i="1" s="1"/>
  <c r="U24" i="1"/>
  <c r="W24" i="1" s="1"/>
  <c r="U87" i="1"/>
  <c r="W87" i="1" s="1"/>
  <c r="U79" i="1"/>
  <c r="W79" i="1" s="1"/>
  <c r="U10" i="1"/>
  <c r="W10" i="1" s="1"/>
  <c r="U70" i="1"/>
  <c r="W70" i="1" s="1"/>
  <c r="U88" i="1"/>
  <c r="W88" i="1" s="1"/>
  <c r="U43" i="1"/>
  <c r="W43" i="1" s="1"/>
  <c r="U98" i="1"/>
  <c r="W98" i="1" s="1"/>
  <c r="U92" i="1"/>
  <c r="W92" i="1" s="1"/>
  <c r="U78" i="1"/>
  <c r="W78" i="1" s="1"/>
  <c r="U20" i="1"/>
  <c r="W20" i="1" s="1"/>
  <c r="U2" i="1"/>
  <c r="W2" i="1" s="1"/>
  <c r="U64" i="1"/>
  <c r="W64" i="1" s="1"/>
  <c r="U99" i="1"/>
  <c r="W99" i="1" s="1"/>
  <c r="U90" i="1"/>
  <c r="W90" i="1" s="1"/>
  <c r="U13" i="1"/>
  <c r="W13" i="1" s="1"/>
  <c r="U17" i="1"/>
  <c r="W17" i="1" s="1"/>
  <c r="U67" i="1"/>
  <c r="W67" i="1" s="1"/>
  <c r="U83" i="1"/>
  <c r="W83" i="1" s="1"/>
  <c r="U11" i="1"/>
  <c r="W11" i="1" s="1"/>
  <c r="U33" i="1"/>
  <c r="W33" i="1" s="1"/>
  <c r="U34" i="1"/>
  <c r="W34" i="1" s="1"/>
  <c r="U86" i="1"/>
  <c r="W86" i="1" s="1"/>
  <c r="U38" i="1"/>
  <c r="W38" i="1" s="1"/>
  <c r="U82" i="1"/>
  <c r="W82" i="1" s="1"/>
  <c r="U96" i="1"/>
  <c r="W96" i="1" s="1"/>
  <c r="U45" i="1"/>
  <c r="W45" i="1" s="1"/>
  <c r="U47" i="1"/>
  <c r="W47" i="1" s="1"/>
  <c r="U32" i="1"/>
  <c r="W32" i="1" s="1"/>
  <c r="U50" i="1"/>
  <c r="W50" i="1" s="1"/>
  <c r="W75" i="1"/>
  <c r="U75" i="1"/>
  <c r="U71" i="1"/>
  <c r="W71" i="1" s="1"/>
  <c r="U25" i="1"/>
  <c r="W25" i="1" s="1"/>
  <c r="U23" i="1"/>
  <c r="W23" i="1" s="1"/>
  <c r="U36" i="1"/>
  <c r="W36" i="1" s="1"/>
  <c r="U48" i="1"/>
  <c r="W48" i="1" s="1"/>
  <c r="U7" i="1"/>
  <c r="W7" i="1" s="1"/>
  <c r="U5" i="1"/>
  <c r="W5" i="1" s="1"/>
  <c r="U56" i="1"/>
  <c r="W56" i="1" s="1"/>
  <c r="U16" i="1"/>
  <c r="W16" i="1" s="1"/>
  <c r="U77" i="1"/>
  <c r="W77" i="1" s="1"/>
  <c r="U22" i="1"/>
  <c r="W22" i="1" s="1"/>
  <c r="U80" i="1"/>
  <c r="W80" i="1" s="1"/>
  <c r="U100" i="1"/>
  <c r="W100" i="1" s="1"/>
  <c r="U51" i="1"/>
  <c r="W51" i="1" s="1"/>
  <c r="U76" i="1"/>
  <c r="W76" i="1" s="1"/>
  <c r="U101" i="1"/>
  <c r="W101" i="1" s="1"/>
  <c r="U31" i="1"/>
  <c r="W31" i="1" s="1"/>
  <c r="U66" i="1"/>
  <c r="W66" i="1" s="1"/>
  <c r="U58" i="1"/>
  <c r="W58" i="1" s="1"/>
  <c r="U30" i="1"/>
  <c r="W30" i="1" s="1"/>
  <c r="U49" i="1"/>
  <c r="W49" i="1" s="1"/>
  <c r="U35" i="1"/>
  <c r="W35" i="1" s="1"/>
  <c r="U62" i="1"/>
  <c r="W62" i="1" s="1"/>
  <c r="U55" i="1"/>
  <c r="W55" i="1" s="1"/>
  <c r="U89" i="1"/>
  <c r="W89" i="1" s="1"/>
  <c r="U93" i="1"/>
  <c r="W93" i="1" s="1"/>
  <c r="U26" i="1"/>
  <c r="W26" i="1" s="1"/>
  <c r="U44" i="1"/>
  <c r="W44" i="1" s="1"/>
  <c r="U85" i="1"/>
  <c r="W85" i="1" s="1"/>
  <c r="U53" i="1"/>
  <c r="W53" i="1" s="1"/>
  <c r="U14" i="1"/>
  <c r="W14" i="1" s="1"/>
  <c r="U46" i="1"/>
  <c r="W46" i="1" s="1"/>
  <c r="U97" i="1"/>
  <c r="W97" i="1" s="1"/>
  <c r="U8" i="1"/>
  <c r="W8" i="1" s="1"/>
  <c r="U28" i="1"/>
  <c r="W28" i="1" s="1"/>
  <c r="U91" i="1"/>
  <c r="W91" i="1" s="1"/>
  <c r="U84" i="1"/>
  <c r="W84" i="1" s="1"/>
  <c r="U15" i="1"/>
  <c r="W15" i="1" s="1"/>
  <c r="U74" i="1"/>
  <c r="W74" i="1" s="1"/>
</calcChain>
</file>

<file path=xl/sharedStrings.xml><?xml version="1.0" encoding="utf-8"?>
<sst xmlns="http://schemas.openxmlformats.org/spreadsheetml/2006/main" count="25" uniqueCount="24">
  <si>
    <t>Allocation</t>
  </si>
  <si>
    <t>Best_Research</t>
  </si>
  <si>
    <t>Max_Profit</t>
  </si>
  <si>
    <t>Scale allocation</t>
  </si>
  <si>
    <t>Estimated Scale performance (linear)</t>
  </si>
  <si>
    <t>strategy performance linear</t>
  </si>
  <si>
    <t>maximum profit</t>
  </si>
  <si>
    <t>payoff</t>
  </si>
  <si>
    <t>Estimate 5000 traders submit manual</t>
  </si>
  <si>
    <t>Linear</t>
  </si>
  <si>
    <t>Linear (Uninformed)</t>
  </si>
  <si>
    <t>normally distributed around linear maximisation (36)</t>
  </si>
  <si>
    <t>cumulative quantity</t>
  </si>
  <si>
    <t>quantity at this price</t>
  </si>
  <si>
    <t>0/1</t>
  </si>
  <si>
    <t>trader types</t>
  </si>
  <si>
    <t>100/99</t>
  </si>
  <si>
    <t>normal distribution + 2 (beat traders)</t>
  </si>
  <si>
    <t>price</t>
  </si>
  <si>
    <t>Strategy performance (weighted)</t>
  </si>
  <si>
    <t>around 5</t>
  </si>
  <si>
    <t>1/0</t>
  </si>
  <si>
    <t>max</t>
  </si>
  <si>
    <t xml:space="preserve">index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</si>
</sst>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6"/>
  <sheetViews>
    <sheetView tabSelected="1" topLeftCell="F1" zoomScale="43" workbookViewId="0">
      <selection activeCell="Y111" sqref="Y111"/>
    </sheetView>
  </sheetViews>
  <sheetFormatPr defaultRowHeight="14.5" x14ac:dyDescent="0.35"/>
  <cols>
    <col min="5" max="5" width="52.7265625" customWidth="1"/>
    <col min="6" max="6" width="28.81640625" customWidth="1"/>
    <col min="9" max="9" width="12.453125" customWidth="1"/>
    <col min="13" max="13" width="33.90625" customWidth="1"/>
    <col min="14" max="14" width="20.08984375" customWidth="1"/>
    <col min="15" max="15" width="29.90625" customWidth="1"/>
    <col min="16" max="16" width="31.26953125" customWidth="1"/>
    <col min="17" max="17" width="43.36328125" customWidth="1"/>
    <col min="18" max="18" width="60.453125" customWidth="1"/>
    <col min="19" max="19" width="30.36328125" customWidth="1"/>
    <col min="20" max="20" width="24.7265625" customWidth="1"/>
    <col min="21" max="21" width="17.26953125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M1" t="s">
        <v>8</v>
      </c>
      <c r="N1" t="s">
        <v>10</v>
      </c>
      <c r="O1" t="s">
        <v>16</v>
      </c>
      <c r="P1" t="s">
        <v>14</v>
      </c>
      <c r="Q1" t="s">
        <v>20</v>
      </c>
      <c r="R1" t="s">
        <v>11</v>
      </c>
      <c r="S1" t="s">
        <v>13</v>
      </c>
      <c r="T1" t="s">
        <v>12</v>
      </c>
      <c r="U1" t="s">
        <v>18</v>
      </c>
      <c r="W1" t="s">
        <v>19</v>
      </c>
    </row>
    <row r="2" spans="1:23" x14ac:dyDescent="0.35">
      <c r="A2">
        <v>0</v>
      </c>
      <c r="B2">
        <v>0</v>
      </c>
      <c r="C2">
        <v>0</v>
      </c>
      <c r="D2">
        <f>100-A2</f>
        <v>100</v>
      </c>
      <c r="E2">
        <f>D2*0.08+1</f>
        <v>9</v>
      </c>
      <c r="F2">
        <f>E2*C2</f>
        <v>0</v>
      </c>
      <c r="I2" t="s">
        <v>15</v>
      </c>
      <c r="M2">
        <v>100</v>
      </c>
      <c r="N2">
        <f>1/101</f>
        <v>9.9009900990099011E-3</v>
      </c>
      <c r="O2">
        <f>0.5</f>
        <v>0.5</v>
      </c>
      <c r="R2">
        <f>_xlfn.NORM.DIST(M2,36,10,FALSE)</f>
        <v>5.0881402816450391E-11</v>
      </c>
      <c r="S2">
        <f>($J$3*N2+$J$4*O2+$J$5*P2+$J$6*Q2+$J$7*R2)*5000</f>
        <v>59.900990264374464</v>
      </c>
      <c r="T2">
        <f>SUM($S$2:S2)</f>
        <v>59.900990264374464</v>
      </c>
      <c r="U2">
        <f>(5000-T2)/5000*8+1</f>
        <v>8.9041584155770011</v>
      </c>
      <c r="W2">
        <f>U2*C2</f>
        <v>0</v>
      </c>
    </row>
    <row r="3" spans="1:23" x14ac:dyDescent="0.35">
      <c r="A3">
        <v>1</v>
      </c>
      <c r="B3">
        <v>0</v>
      </c>
      <c r="C3">
        <v>0</v>
      </c>
      <c r="D3">
        <f t="shared" ref="D3:D66" si="0">100-A3</f>
        <v>99</v>
      </c>
      <c r="E3">
        <f t="shared" ref="E3:E66" si="1">D3*0.08+1</f>
        <v>8.92</v>
      </c>
      <c r="F3">
        <f t="shared" ref="F3:F66" si="2">E3*C3</f>
        <v>0</v>
      </c>
      <c r="I3" t="s">
        <v>9</v>
      </c>
      <c r="J3">
        <v>0.2</v>
      </c>
      <c r="M3">
        <v>99</v>
      </c>
      <c r="N3">
        <f t="shared" ref="N3:N66" si="3">1/101</f>
        <v>9.9009900990099011E-3</v>
      </c>
      <c r="O3">
        <v>0.5</v>
      </c>
      <c r="R3">
        <f t="shared" ref="R3:R66" si="4">_xlfn.NORM.DIST(M3,36,10,FALSE)</f>
        <v>9.6014333703123347E-11</v>
      </c>
      <c r="S3">
        <f t="shared" ref="S3:S66" si="5">($J$3*N3+$J$4*O3+$J$5*P3+$J$6*Q3+$J$7*R3)*5000</f>
        <v>59.90099041105649</v>
      </c>
      <c r="T3">
        <f>SUM($S$2:S3)</f>
        <v>119.80198067543095</v>
      </c>
      <c r="U3">
        <f t="shared" ref="U3:U66" si="6">(5000-T3)/5000*8+1</f>
        <v>8.8083168309193098</v>
      </c>
      <c r="W3">
        <f t="shared" ref="W3:W66" si="7">U3*C3</f>
        <v>0</v>
      </c>
    </row>
    <row r="4" spans="1:23" x14ac:dyDescent="0.35">
      <c r="A4">
        <v>2</v>
      </c>
      <c r="B4">
        <v>1</v>
      </c>
      <c r="C4">
        <v>210.26667651316319</v>
      </c>
      <c r="D4">
        <f t="shared" si="0"/>
        <v>98</v>
      </c>
      <c r="E4">
        <f t="shared" si="1"/>
        <v>8.84</v>
      </c>
      <c r="F4">
        <f t="shared" si="2"/>
        <v>1858.7574203763625</v>
      </c>
      <c r="I4" t="s">
        <v>16</v>
      </c>
      <c r="J4">
        <v>0.02</v>
      </c>
      <c r="M4">
        <v>98</v>
      </c>
      <c r="N4">
        <f t="shared" si="3"/>
        <v>9.9009900990099011E-3</v>
      </c>
      <c r="R4">
        <f t="shared" si="4"/>
        <v>1.7937839079640794E-10</v>
      </c>
      <c r="S4">
        <f t="shared" si="5"/>
        <v>9.9009906819896703</v>
      </c>
      <c r="T4">
        <f>SUM($S$2:S4)</f>
        <v>129.70297135742064</v>
      </c>
      <c r="U4">
        <f t="shared" si="6"/>
        <v>8.7924752458281272</v>
      </c>
      <c r="W4">
        <f t="shared" si="7"/>
        <v>1848.7645482645378</v>
      </c>
    </row>
    <row r="5" spans="1:23" x14ac:dyDescent="0.35">
      <c r="A5">
        <v>3</v>
      </c>
      <c r="B5">
        <v>1</v>
      </c>
      <c r="C5">
        <v>420.53335302632632</v>
      </c>
      <c r="D5">
        <f t="shared" si="0"/>
        <v>97</v>
      </c>
      <c r="E5">
        <f t="shared" si="1"/>
        <v>8.76</v>
      </c>
      <c r="F5">
        <f t="shared" si="2"/>
        <v>3683.8721725106184</v>
      </c>
      <c r="I5" s="2" t="s">
        <v>21</v>
      </c>
      <c r="J5">
        <v>0.08</v>
      </c>
      <c r="M5">
        <v>97</v>
      </c>
      <c r="N5">
        <f t="shared" si="3"/>
        <v>9.9009900990099011E-3</v>
      </c>
      <c r="R5">
        <f t="shared" si="4"/>
        <v>3.3178842435473048E-10</v>
      </c>
      <c r="S5">
        <f t="shared" si="5"/>
        <v>9.900991177322279</v>
      </c>
      <c r="T5">
        <f>SUM($S$2:S5)</f>
        <v>139.60396253474292</v>
      </c>
      <c r="U5">
        <f t="shared" si="6"/>
        <v>8.7766336599444124</v>
      </c>
      <c r="W5">
        <f t="shared" si="7"/>
        <v>3690.867181300142</v>
      </c>
    </row>
    <row r="6" spans="1:23" x14ac:dyDescent="0.35">
      <c r="A6">
        <v>4</v>
      </c>
      <c r="B6">
        <v>2</v>
      </c>
      <c r="C6">
        <v>666.52959484925907</v>
      </c>
      <c r="D6">
        <f t="shared" si="0"/>
        <v>96</v>
      </c>
      <c r="E6">
        <f t="shared" si="1"/>
        <v>8.68</v>
      </c>
      <c r="F6">
        <f t="shared" si="2"/>
        <v>5785.4768832915688</v>
      </c>
      <c r="I6" s="3">
        <v>5</v>
      </c>
      <c r="J6">
        <v>0.05</v>
      </c>
      <c r="M6">
        <v>96</v>
      </c>
      <c r="N6">
        <f t="shared" si="3"/>
        <v>9.9009900990099011E-3</v>
      </c>
      <c r="R6">
        <f t="shared" si="4"/>
        <v>6.0758828498232861E-10</v>
      </c>
      <c r="S6">
        <f t="shared" si="5"/>
        <v>9.9009920736718282</v>
      </c>
      <c r="T6">
        <f>SUM($S$2:S6)</f>
        <v>149.50495460841475</v>
      </c>
      <c r="U6">
        <f t="shared" si="6"/>
        <v>8.7607920726265363</v>
      </c>
      <c r="W6">
        <f t="shared" si="7"/>
        <v>5839.3271907263661</v>
      </c>
    </row>
    <row r="7" spans="1:23" x14ac:dyDescent="0.35">
      <c r="A7">
        <v>5</v>
      </c>
      <c r="B7">
        <v>2</v>
      </c>
      <c r="C7">
        <v>999.79439227388855</v>
      </c>
      <c r="D7">
        <f t="shared" si="0"/>
        <v>95</v>
      </c>
      <c r="E7">
        <f t="shared" si="1"/>
        <v>8.6000000000000014</v>
      </c>
      <c r="F7">
        <f t="shared" si="2"/>
        <v>8598.2317735554425</v>
      </c>
      <c r="I7" t="s">
        <v>17</v>
      </c>
      <c r="J7">
        <v>0.65</v>
      </c>
      <c r="M7">
        <v>95</v>
      </c>
      <c r="N7">
        <f t="shared" si="3"/>
        <v>9.9009900990099011E-3</v>
      </c>
      <c r="R7">
        <f t="shared" si="4"/>
        <v>1.1015763624682308E-9</v>
      </c>
      <c r="S7">
        <f t="shared" si="5"/>
        <v>9.9009936791330784</v>
      </c>
      <c r="T7">
        <f>SUM($S$2:S7)</f>
        <v>159.40594828754783</v>
      </c>
      <c r="U7">
        <f t="shared" si="6"/>
        <v>8.7449504827399238</v>
      </c>
      <c r="W7">
        <f t="shared" si="7"/>
        <v>8743.1524533562097</v>
      </c>
    </row>
    <row r="8" spans="1:23" x14ac:dyDescent="0.35">
      <c r="A8">
        <v>6</v>
      </c>
      <c r="B8">
        <v>2</v>
      </c>
      <c r="C8">
        <v>1333.0591896985179</v>
      </c>
      <c r="D8">
        <f t="shared" si="0"/>
        <v>94</v>
      </c>
      <c r="E8">
        <f t="shared" si="1"/>
        <v>8.52</v>
      </c>
      <c r="F8">
        <f t="shared" si="2"/>
        <v>11357.664296231373</v>
      </c>
      <c r="M8">
        <v>94</v>
      </c>
      <c r="N8">
        <f t="shared" si="3"/>
        <v>9.9009900990099011E-3</v>
      </c>
      <c r="R8">
        <f t="shared" si="4"/>
        <v>1.9773196406244672E-9</v>
      </c>
      <c r="S8">
        <f t="shared" si="5"/>
        <v>9.9009965252987335</v>
      </c>
      <c r="T8">
        <f>SUM($S$2:S8)</f>
        <v>169.30694481284655</v>
      </c>
      <c r="U8">
        <f t="shared" si="6"/>
        <v>8.7291088882994465</v>
      </c>
      <c r="W8">
        <f t="shared" si="7"/>
        <v>11636.418821426591</v>
      </c>
    </row>
    <row r="9" spans="1:23" x14ac:dyDescent="0.35">
      <c r="A9">
        <v>7</v>
      </c>
      <c r="B9">
        <v>3</v>
      </c>
      <c r="C9">
        <v>1682.1334121053051</v>
      </c>
      <c r="D9">
        <f t="shared" si="0"/>
        <v>93</v>
      </c>
      <c r="E9">
        <f t="shared" si="1"/>
        <v>8.4400000000000013</v>
      </c>
      <c r="F9">
        <f t="shared" si="2"/>
        <v>14197.205998168776</v>
      </c>
      <c r="M9">
        <v>93</v>
      </c>
      <c r="N9">
        <f t="shared" si="3"/>
        <v>9.9009900990099011E-3</v>
      </c>
      <c r="R9">
        <f t="shared" si="4"/>
        <v>3.5139550948204335E-9</v>
      </c>
      <c r="S9">
        <f t="shared" si="5"/>
        <v>9.9010015193639607</v>
      </c>
      <c r="T9">
        <f>SUM($S$2:S9)</f>
        <v>179.20794633221053</v>
      </c>
      <c r="U9">
        <f t="shared" si="6"/>
        <v>8.7132672858684632</v>
      </c>
      <c r="W9">
        <f t="shared" si="7"/>
        <v>14656.878030163449</v>
      </c>
    </row>
    <row r="10" spans="1:23" x14ac:dyDescent="0.35">
      <c r="A10">
        <v>8</v>
      </c>
      <c r="B10">
        <v>3</v>
      </c>
      <c r="C10">
        <v>2102.666765131632</v>
      </c>
      <c r="D10">
        <f t="shared" si="0"/>
        <v>92</v>
      </c>
      <c r="E10">
        <f t="shared" si="1"/>
        <v>8.36</v>
      </c>
      <c r="F10">
        <f t="shared" si="2"/>
        <v>17578.294156500444</v>
      </c>
      <c r="M10">
        <v>92</v>
      </c>
      <c r="N10">
        <f t="shared" si="3"/>
        <v>9.9009900990099011E-3</v>
      </c>
      <c r="R10">
        <f t="shared" si="4"/>
        <v>6.1826205001658568E-9</v>
      </c>
      <c r="S10">
        <f t="shared" si="5"/>
        <v>9.9010101925265257</v>
      </c>
      <c r="T10">
        <f>SUM($S$2:S10)</f>
        <v>189.10895652473704</v>
      </c>
      <c r="U10">
        <f t="shared" si="6"/>
        <v>8.6974256695604204</v>
      </c>
      <c r="W10">
        <f t="shared" si="7"/>
        <v>18287.787897587426</v>
      </c>
    </row>
    <row r="11" spans="1:23" x14ac:dyDescent="0.35">
      <c r="A11">
        <v>9</v>
      </c>
      <c r="B11">
        <v>3</v>
      </c>
      <c r="C11">
        <v>2523.2001181579581</v>
      </c>
      <c r="D11">
        <f t="shared" si="0"/>
        <v>91</v>
      </c>
      <c r="E11">
        <f t="shared" si="1"/>
        <v>8.2800000000000011</v>
      </c>
      <c r="F11">
        <f t="shared" si="2"/>
        <v>20892.096978347894</v>
      </c>
      <c r="M11">
        <v>91</v>
      </c>
      <c r="N11">
        <f t="shared" si="3"/>
        <v>9.9009900990099011E-3</v>
      </c>
      <c r="R11">
        <f t="shared" si="4"/>
        <v>1.0769760042543275E-8</v>
      </c>
      <c r="S11">
        <f t="shared" si="5"/>
        <v>9.9010251007300383</v>
      </c>
      <c r="T11">
        <f>SUM($S$2:S11)</f>
        <v>199.00998162546708</v>
      </c>
      <c r="U11">
        <f t="shared" si="6"/>
        <v>8.6815840293992537</v>
      </c>
      <c r="W11">
        <f t="shared" si="7"/>
        <v>21905.373848778439</v>
      </c>
    </row>
    <row r="12" spans="1:23" x14ac:dyDescent="0.35">
      <c r="A12">
        <v>10</v>
      </c>
      <c r="B12">
        <v>3</v>
      </c>
      <c r="C12">
        <v>2943.733471184285</v>
      </c>
      <c r="D12">
        <f t="shared" si="0"/>
        <v>90</v>
      </c>
      <c r="E12">
        <f t="shared" si="1"/>
        <v>8.1999999999999993</v>
      </c>
      <c r="F12">
        <f t="shared" si="2"/>
        <v>24138.614463711136</v>
      </c>
      <c r="M12">
        <v>90</v>
      </c>
      <c r="N12">
        <f t="shared" si="3"/>
        <v>9.9009900990099011E-3</v>
      </c>
      <c r="R12">
        <f t="shared" si="4"/>
        <v>1.8573618445552898E-8</v>
      </c>
      <c r="S12">
        <f t="shared" si="5"/>
        <v>9.9010504632698506</v>
      </c>
      <c r="T12">
        <f>SUM($S$2:S12)</f>
        <v>208.91103208873693</v>
      </c>
      <c r="U12">
        <f t="shared" si="6"/>
        <v>8.6657423486580214</v>
      </c>
      <c r="W12">
        <f t="shared" si="7"/>
        <v>25509.635804403737</v>
      </c>
    </row>
    <row r="13" spans="1:23" x14ac:dyDescent="0.35">
      <c r="A13">
        <v>11</v>
      </c>
      <c r="B13">
        <v>4</v>
      </c>
      <c r="C13">
        <v>3417.568725301544</v>
      </c>
      <c r="D13">
        <f t="shared" si="0"/>
        <v>89</v>
      </c>
      <c r="E13">
        <f t="shared" si="1"/>
        <v>8.120000000000001</v>
      </c>
      <c r="F13">
        <f t="shared" si="2"/>
        <v>27750.658049448539</v>
      </c>
      <c r="M13">
        <v>89</v>
      </c>
      <c r="N13">
        <f t="shared" si="3"/>
        <v>9.9009900990099011E-3</v>
      </c>
      <c r="R13">
        <f t="shared" si="4"/>
        <v>3.1713492167159761E-8</v>
      </c>
      <c r="S13">
        <f t="shared" si="5"/>
        <v>9.9010931678594432</v>
      </c>
      <c r="T13">
        <f>SUM($S$2:S13)</f>
        <v>218.81212525659637</v>
      </c>
      <c r="U13">
        <f t="shared" si="6"/>
        <v>8.6499005995894471</v>
      </c>
      <c r="W13">
        <f t="shared" si="7"/>
        <v>29561.629766123966</v>
      </c>
    </row>
    <row r="14" spans="1:23" x14ac:dyDescent="0.35">
      <c r="A14">
        <v>12</v>
      </c>
      <c r="B14">
        <v>4</v>
      </c>
      <c r="C14">
        <v>3905.79282891605</v>
      </c>
      <c r="D14">
        <f t="shared" si="0"/>
        <v>88</v>
      </c>
      <c r="E14">
        <f t="shared" si="1"/>
        <v>8.0399999999999991</v>
      </c>
      <c r="F14">
        <f t="shared" si="2"/>
        <v>31402.574344485038</v>
      </c>
      <c r="M14">
        <v>88</v>
      </c>
      <c r="N14">
        <f t="shared" si="3"/>
        <v>9.9009900990099011E-3</v>
      </c>
      <c r="R14">
        <f t="shared" si="4"/>
        <v>5.3610353446976141E-8</v>
      </c>
      <c r="S14">
        <f t="shared" si="5"/>
        <v>9.9011643326586043</v>
      </c>
      <c r="T14">
        <f>SUM($S$2:S14)</f>
        <v>228.71328958925497</v>
      </c>
      <c r="U14">
        <f t="shared" si="6"/>
        <v>8.6340587366571917</v>
      </c>
      <c r="W14">
        <f t="shared" si="7"/>
        <v>33722.844698075627</v>
      </c>
    </row>
    <row r="15" spans="1:23" x14ac:dyDescent="0.35">
      <c r="A15">
        <v>13</v>
      </c>
      <c r="B15">
        <v>4</v>
      </c>
      <c r="C15">
        <v>4394.0169325305569</v>
      </c>
      <c r="D15">
        <f t="shared" si="0"/>
        <v>87</v>
      </c>
      <c r="E15">
        <f t="shared" si="1"/>
        <v>7.96</v>
      </c>
      <c r="F15">
        <f t="shared" si="2"/>
        <v>34976.374782943232</v>
      </c>
      <c r="M15">
        <v>87</v>
      </c>
      <c r="N15">
        <f t="shared" si="3"/>
        <v>9.9009900990099011E-3</v>
      </c>
      <c r="R15">
        <f t="shared" si="4"/>
        <v>8.9724351623833366E-8</v>
      </c>
      <c r="S15">
        <f t="shared" si="5"/>
        <v>9.9012817031526783</v>
      </c>
      <c r="T15">
        <f>SUM($S$2:S15)</f>
        <v>238.61457129240765</v>
      </c>
      <c r="U15">
        <f t="shared" si="6"/>
        <v>8.618216685932147</v>
      </c>
      <c r="W15">
        <f t="shared" si="7"/>
        <v>37868.590046203237</v>
      </c>
    </row>
    <row r="16" spans="1:23" x14ac:dyDescent="0.35">
      <c r="A16">
        <v>14</v>
      </c>
      <c r="B16">
        <v>5</v>
      </c>
      <c r="C16">
        <v>4891.7832654401354</v>
      </c>
      <c r="D16">
        <f t="shared" si="0"/>
        <v>86</v>
      </c>
      <c r="E16">
        <f t="shared" si="1"/>
        <v>7.88</v>
      </c>
      <c r="F16">
        <f t="shared" si="2"/>
        <v>38547.252131668269</v>
      </c>
      <c r="M16">
        <v>86</v>
      </c>
      <c r="N16">
        <f t="shared" si="3"/>
        <v>9.9009900990099011E-3</v>
      </c>
      <c r="R16">
        <f t="shared" si="4"/>
        <v>1.4867195147342977E-7</v>
      </c>
      <c r="S16">
        <f t="shared" si="5"/>
        <v>9.901473282852189</v>
      </c>
      <c r="T16">
        <f>SUM($S$2:S16)</f>
        <v>248.51604457525983</v>
      </c>
      <c r="U16">
        <f t="shared" si="6"/>
        <v>8.6023743286795842</v>
      </c>
      <c r="W16">
        <f t="shared" si="7"/>
        <v>42080.950784086606</v>
      </c>
    </row>
    <row r="17" spans="1:23" x14ac:dyDescent="0.35">
      <c r="A17">
        <v>15</v>
      </c>
      <c r="B17">
        <v>5</v>
      </c>
      <c r="C17">
        <v>5435.3147393779273</v>
      </c>
      <c r="D17">
        <f t="shared" si="0"/>
        <v>85</v>
      </c>
      <c r="E17">
        <f t="shared" si="1"/>
        <v>7.8</v>
      </c>
      <c r="F17">
        <f t="shared" si="2"/>
        <v>42395.454967147831</v>
      </c>
      <c r="M17">
        <v>85</v>
      </c>
      <c r="N17">
        <f t="shared" si="3"/>
        <v>9.9009900990099011E-3</v>
      </c>
      <c r="R17">
        <f t="shared" si="4"/>
        <v>2.438960745893352E-7</v>
      </c>
      <c r="S17">
        <f t="shared" si="5"/>
        <v>9.9017827612523153</v>
      </c>
      <c r="T17">
        <f>SUM($S$2:S17)</f>
        <v>258.41782733651212</v>
      </c>
      <c r="U17">
        <f t="shared" si="6"/>
        <v>8.5865314762615803</v>
      </c>
      <c r="W17">
        <f t="shared" si="7"/>
        <v>46670.501093057079</v>
      </c>
    </row>
    <row r="18" spans="1:23" x14ac:dyDescent="0.35">
      <c r="A18">
        <v>16</v>
      </c>
      <c r="B18">
        <v>5</v>
      </c>
      <c r="C18">
        <v>5978.8462133157191</v>
      </c>
      <c r="D18">
        <f t="shared" si="0"/>
        <v>84</v>
      </c>
      <c r="E18">
        <f t="shared" si="1"/>
        <v>7.72</v>
      </c>
      <c r="F18">
        <f t="shared" si="2"/>
        <v>46156.69276679735</v>
      </c>
      <c r="M18">
        <v>84</v>
      </c>
      <c r="N18">
        <f t="shared" si="3"/>
        <v>9.9009900990099011E-3</v>
      </c>
      <c r="R18">
        <f t="shared" si="4"/>
        <v>3.9612990910320755E-7</v>
      </c>
      <c r="S18">
        <f t="shared" si="5"/>
        <v>9.9022775212144865</v>
      </c>
      <c r="T18">
        <f>SUM($S$2:S18)</f>
        <v>268.32010485772662</v>
      </c>
      <c r="U18">
        <f t="shared" si="6"/>
        <v>8.5706878322276374</v>
      </c>
      <c r="W18">
        <f t="shared" si="7"/>
        <v>51242.824491225321</v>
      </c>
    </row>
    <row r="19" spans="1:23" x14ac:dyDescent="0.35">
      <c r="A19">
        <v>17</v>
      </c>
      <c r="B19">
        <v>5</v>
      </c>
      <c r="C19">
        <v>6522.3776872535127</v>
      </c>
      <c r="D19">
        <f t="shared" si="0"/>
        <v>83</v>
      </c>
      <c r="E19">
        <f t="shared" si="1"/>
        <v>7.6400000000000006</v>
      </c>
      <c r="F19">
        <f t="shared" si="2"/>
        <v>49830.965530616842</v>
      </c>
      <c r="M19">
        <v>83</v>
      </c>
      <c r="N19">
        <f t="shared" si="3"/>
        <v>9.9009900990099011E-3</v>
      </c>
      <c r="R19">
        <f t="shared" si="4"/>
        <v>6.3698251788670893E-7</v>
      </c>
      <c r="S19">
        <f t="shared" si="5"/>
        <v>9.9030602921930324</v>
      </c>
      <c r="T19">
        <f>SUM($S$2:S19)</f>
        <v>278.22316514991962</v>
      </c>
      <c r="U19">
        <f t="shared" si="6"/>
        <v>8.5548429357601279</v>
      </c>
      <c r="W19">
        <f t="shared" si="7"/>
        <v>55797.91668216019</v>
      </c>
    </row>
    <row r="20" spans="1:23" x14ac:dyDescent="0.35">
      <c r="A20">
        <v>18</v>
      </c>
      <c r="B20">
        <v>6</v>
      </c>
      <c r="C20">
        <v>7083.5182710470726</v>
      </c>
      <c r="D20">
        <f t="shared" si="0"/>
        <v>82</v>
      </c>
      <c r="E20">
        <f t="shared" si="1"/>
        <v>7.5600000000000005</v>
      </c>
      <c r="F20">
        <f t="shared" si="2"/>
        <v>53551.398129115871</v>
      </c>
      <c r="M20">
        <v>82</v>
      </c>
      <c r="N20">
        <f t="shared" si="3"/>
        <v>9.9009900990099011E-3</v>
      </c>
      <c r="R20">
        <f t="shared" si="4"/>
        <v>1.014085206548676E-6</v>
      </c>
      <c r="S20">
        <f t="shared" si="5"/>
        <v>9.9042858759311851</v>
      </c>
      <c r="T20">
        <f>SUM($S$2:S20)</f>
        <v>288.1274510258508</v>
      </c>
      <c r="U20">
        <f t="shared" si="6"/>
        <v>8.5389960783586396</v>
      </c>
      <c r="W20">
        <f t="shared" si="7"/>
        <v>60486.134737452725</v>
      </c>
    </row>
    <row r="21" spans="1:23" x14ac:dyDescent="0.35">
      <c r="A21">
        <v>19</v>
      </c>
      <c r="B21">
        <v>6</v>
      </c>
      <c r="C21">
        <v>7673.8114603009953</v>
      </c>
      <c r="D21">
        <f t="shared" si="0"/>
        <v>81</v>
      </c>
      <c r="E21">
        <f t="shared" si="1"/>
        <v>7.48</v>
      </c>
      <c r="F21">
        <f t="shared" si="2"/>
        <v>57400.10972305145</v>
      </c>
      <c r="M21">
        <v>81</v>
      </c>
      <c r="N21">
        <f t="shared" si="3"/>
        <v>9.9009900990099011E-3</v>
      </c>
      <c r="R21">
        <f t="shared" si="4"/>
        <v>1.5983741106905478E-6</v>
      </c>
      <c r="S21">
        <f t="shared" si="5"/>
        <v>9.906184814869647</v>
      </c>
      <c r="T21">
        <f>SUM($S$2:S21)</f>
        <v>298.03363584072042</v>
      </c>
      <c r="U21">
        <f t="shared" si="6"/>
        <v>8.5231461826548482</v>
      </c>
      <c r="W21">
        <f t="shared" si="7"/>
        <v>65405.016854277455</v>
      </c>
    </row>
    <row r="22" spans="1:23" x14ac:dyDescent="0.35">
      <c r="A22">
        <v>20</v>
      </c>
      <c r="B22">
        <v>6</v>
      </c>
      <c r="C22">
        <v>8264.1046495549181</v>
      </c>
      <c r="D22">
        <f t="shared" si="0"/>
        <v>80</v>
      </c>
      <c r="E22">
        <f t="shared" si="1"/>
        <v>7.4</v>
      </c>
      <c r="F22">
        <f t="shared" si="2"/>
        <v>61154.374406706396</v>
      </c>
      <c r="M22">
        <v>80</v>
      </c>
      <c r="N22">
        <f t="shared" si="3"/>
        <v>9.9009900990099011E-3</v>
      </c>
      <c r="R22">
        <f t="shared" si="4"/>
        <v>2.4942471290053532E-6</v>
      </c>
      <c r="S22">
        <f t="shared" si="5"/>
        <v>9.9090964021791681</v>
      </c>
      <c r="T22">
        <f>SUM($S$2:S22)</f>
        <v>307.94273224289958</v>
      </c>
      <c r="U22">
        <f t="shared" si="6"/>
        <v>8.5072916284113624</v>
      </c>
      <c r="W22">
        <f t="shared" si="7"/>
        <v>70305.148301473964</v>
      </c>
    </row>
    <row r="23" spans="1:23" x14ac:dyDescent="0.35">
      <c r="A23">
        <v>21</v>
      </c>
      <c r="B23">
        <v>6</v>
      </c>
      <c r="C23">
        <v>8854.3978388088399</v>
      </c>
      <c r="D23">
        <f t="shared" si="0"/>
        <v>79</v>
      </c>
      <c r="E23">
        <f t="shared" si="1"/>
        <v>7.32</v>
      </c>
      <c r="F23">
        <f t="shared" si="2"/>
        <v>64814.19218008071</v>
      </c>
      <c r="M23">
        <v>79</v>
      </c>
      <c r="N23">
        <f t="shared" si="3"/>
        <v>9.9009900990099011E-3</v>
      </c>
      <c r="R23">
        <f t="shared" si="4"/>
        <v>3.8535196742087128E-6</v>
      </c>
      <c r="S23">
        <f t="shared" si="5"/>
        <v>9.9135140379510798</v>
      </c>
      <c r="T23">
        <f>SUM($S$2:S23)</f>
        <v>317.85624628085066</v>
      </c>
      <c r="U23">
        <f t="shared" si="6"/>
        <v>8.4914300059506402</v>
      </c>
      <c r="W23">
        <f t="shared" si="7"/>
        <v>75186.499493085881</v>
      </c>
    </row>
    <row r="24" spans="1:23" x14ac:dyDescent="0.35">
      <c r="A24">
        <v>22</v>
      </c>
      <c r="B24">
        <v>7</v>
      </c>
      <c r="C24">
        <v>9462.0004430923418</v>
      </c>
      <c r="D24">
        <f t="shared" si="0"/>
        <v>78</v>
      </c>
      <c r="E24">
        <f t="shared" si="1"/>
        <v>7.24</v>
      </c>
      <c r="F24">
        <f t="shared" si="2"/>
        <v>68504.883207988561</v>
      </c>
      <c r="M24">
        <v>78</v>
      </c>
      <c r="N24">
        <f t="shared" si="3"/>
        <v>9.9009900990099011E-3</v>
      </c>
      <c r="R24">
        <f t="shared" si="4"/>
        <v>5.8943067756539858E-6</v>
      </c>
      <c r="S24">
        <f t="shared" si="5"/>
        <v>9.9201465960307775</v>
      </c>
      <c r="T24">
        <f>SUM($S$2:S24)</f>
        <v>327.77639287688146</v>
      </c>
      <c r="U24">
        <f t="shared" si="6"/>
        <v>8.4755577713969892</v>
      </c>
      <c r="W24">
        <f t="shared" si="7"/>
        <v>80195.731388413056</v>
      </c>
    </row>
    <row r="25" spans="1:23" x14ac:dyDescent="0.35">
      <c r="A25">
        <v>23</v>
      </c>
      <c r="B25">
        <v>7</v>
      </c>
      <c r="C25">
        <v>10092.80047263183</v>
      </c>
      <c r="D25">
        <f t="shared" si="0"/>
        <v>77</v>
      </c>
      <c r="E25">
        <f t="shared" si="1"/>
        <v>7.16</v>
      </c>
      <c r="F25">
        <f t="shared" si="2"/>
        <v>72264.451384043903</v>
      </c>
      <c r="M25">
        <v>77</v>
      </c>
      <c r="N25">
        <f t="shared" si="3"/>
        <v>9.9009900990099011E-3</v>
      </c>
      <c r="R25">
        <f t="shared" si="4"/>
        <v>8.9261657177132918E-6</v>
      </c>
      <c r="S25">
        <f t="shared" si="5"/>
        <v>9.9300001375924687</v>
      </c>
      <c r="T25">
        <f>SUM($S$2:S25)</f>
        <v>337.70639301447392</v>
      </c>
      <c r="U25">
        <f t="shared" si="6"/>
        <v>8.4596697711768414</v>
      </c>
      <c r="W25">
        <f t="shared" si="7"/>
        <v>85381.75906484283</v>
      </c>
    </row>
    <row r="26" spans="1:23" x14ac:dyDescent="0.35">
      <c r="A26">
        <v>24</v>
      </c>
      <c r="B26">
        <v>7</v>
      </c>
      <c r="C26">
        <v>10723.600502171321</v>
      </c>
      <c r="D26">
        <f t="shared" si="0"/>
        <v>76</v>
      </c>
      <c r="E26">
        <f t="shared" si="1"/>
        <v>7.08</v>
      </c>
      <c r="F26">
        <f t="shared" si="2"/>
        <v>75923.091555372957</v>
      </c>
      <c r="M26">
        <v>76</v>
      </c>
      <c r="N26">
        <f t="shared" si="3"/>
        <v>9.9009900990099011E-3</v>
      </c>
      <c r="R26">
        <f t="shared" si="4"/>
        <v>1.3383022576488536E-5</v>
      </c>
      <c r="S26">
        <f t="shared" si="5"/>
        <v>9.9444849223834879</v>
      </c>
      <c r="T26">
        <f>SUM($S$2:S26)</f>
        <v>347.6508779368574</v>
      </c>
      <c r="U26">
        <f t="shared" si="6"/>
        <v>8.443758595301027</v>
      </c>
      <c r="W26">
        <f t="shared" si="7"/>
        <v>90547.493912783495</v>
      </c>
    </row>
    <row r="27" spans="1:23" x14ac:dyDescent="0.35">
      <c r="A27">
        <v>25</v>
      </c>
      <c r="B27">
        <v>7</v>
      </c>
      <c r="C27">
        <v>11354.400531710809</v>
      </c>
      <c r="D27">
        <f t="shared" si="0"/>
        <v>75</v>
      </c>
      <c r="E27">
        <f t="shared" si="1"/>
        <v>7</v>
      </c>
      <c r="F27">
        <f t="shared" si="2"/>
        <v>79480.803721975666</v>
      </c>
      <c r="M27">
        <v>75</v>
      </c>
      <c r="N27">
        <f t="shared" si="3"/>
        <v>9.9009900990099011E-3</v>
      </c>
      <c r="R27">
        <f t="shared" si="4"/>
        <v>1.9865547139277272E-5</v>
      </c>
      <c r="S27">
        <f t="shared" si="5"/>
        <v>9.9655531272125533</v>
      </c>
      <c r="T27">
        <f>SUM($S$2:S27)</f>
        <v>357.61643106406996</v>
      </c>
      <c r="U27">
        <f t="shared" si="6"/>
        <v>8.4278137102974888</v>
      </c>
      <c r="W27">
        <f t="shared" si="7"/>
        <v>95692.77247336146</v>
      </c>
    </row>
    <row r="28" spans="1:23" x14ac:dyDescent="0.35">
      <c r="A28">
        <v>26</v>
      </c>
      <c r="B28">
        <v>8</v>
      </c>
      <c r="C28">
        <v>11997.53270728666</v>
      </c>
      <c r="D28">
        <f t="shared" si="0"/>
        <v>74</v>
      </c>
      <c r="E28">
        <f t="shared" si="1"/>
        <v>6.92</v>
      </c>
      <c r="F28">
        <f t="shared" si="2"/>
        <v>83022.926334423682</v>
      </c>
      <c r="M28">
        <v>74</v>
      </c>
      <c r="N28">
        <f t="shared" si="3"/>
        <v>9.9009900990099011E-3</v>
      </c>
      <c r="R28">
        <f t="shared" si="4"/>
        <v>2.9194692579146026E-5</v>
      </c>
      <c r="S28">
        <f t="shared" si="5"/>
        <v>9.995872849892125</v>
      </c>
      <c r="T28">
        <f>SUM($S$2:S28)</f>
        <v>367.61230391396208</v>
      </c>
      <c r="U28">
        <f t="shared" si="6"/>
        <v>8.4118203137376604</v>
      </c>
      <c r="W28">
        <f t="shared" si="7"/>
        <v>100921.08934188592</v>
      </c>
    </row>
    <row r="29" spans="1:23" x14ac:dyDescent="0.35">
      <c r="A29">
        <v>27</v>
      </c>
      <c r="B29">
        <v>8</v>
      </c>
      <c r="C29">
        <v>12664.062302135921</v>
      </c>
      <c r="D29">
        <f t="shared" si="0"/>
        <v>73</v>
      </c>
      <c r="E29">
        <f t="shared" si="1"/>
        <v>6.84</v>
      </c>
      <c r="F29">
        <f t="shared" si="2"/>
        <v>86622.186146609689</v>
      </c>
      <c r="M29">
        <v>73</v>
      </c>
      <c r="N29">
        <f t="shared" si="3"/>
        <v>9.9009900990099011E-3</v>
      </c>
      <c r="R29">
        <f t="shared" si="4"/>
        <v>4.2478027055075142E-5</v>
      </c>
      <c r="S29">
        <f t="shared" si="5"/>
        <v>10.039043686938896</v>
      </c>
      <c r="T29">
        <f>SUM($S$2:S29)</f>
        <v>377.65134760090098</v>
      </c>
      <c r="U29">
        <f t="shared" si="6"/>
        <v>8.3957578438385578</v>
      </c>
      <c r="W29">
        <f t="shared" si="7"/>
        <v>106324.40040801784</v>
      </c>
    </row>
    <row r="30" spans="1:23" x14ac:dyDescent="0.35">
      <c r="A30">
        <v>28</v>
      </c>
      <c r="B30">
        <v>8</v>
      </c>
      <c r="C30">
        <v>13330.591896985179</v>
      </c>
      <c r="D30">
        <f t="shared" si="0"/>
        <v>72</v>
      </c>
      <c r="E30">
        <f t="shared" si="1"/>
        <v>6.76</v>
      </c>
      <c r="F30">
        <f t="shared" si="2"/>
        <v>90114.801223619812</v>
      </c>
      <c r="M30">
        <v>72</v>
      </c>
      <c r="N30">
        <f t="shared" si="3"/>
        <v>9.9009900990099011E-3</v>
      </c>
      <c r="R30">
        <f t="shared" si="4"/>
        <v>6.1190193011377187E-5</v>
      </c>
      <c r="S30">
        <f t="shared" si="5"/>
        <v>10.099858226296876</v>
      </c>
      <c r="T30">
        <f>SUM($S$2:S30)</f>
        <v>387.75120582719785</v>
      </c>
      <c r="U30">
        <f t="shared" si="6"/>
        <v>8.379598070676483</v>
      </c>
      <c r="W30">
        <f t="shared" si="7"/>
        <v>111705.00214095257</v>
      </c>
    </row>
    <row r="31" spans="1:23" x14ac:dyDescent="0.35">
      <c r="A31">
        <v>29</v>
      </c>
      <c r="B31">
        <v>8</v>
      </c>
      <c r="C31">
        <v>13997.121491834439</v>
      </c>
      <c r="D31">
        <f t="shared" si="0"/>
        <v>71</v>
      </c>
      <c r="E31">
        <f t="shared" si="1"/>
        <v>6.68</v>
      </c>
      <c r="F31">
        <f t="shared" si="2"/>
        <v>93500.771565454052</v>
      </c>
      <c r="M31">
        <v>71</v>
      </c>
      <c r="N31">
        <f t="shared" si="3"/>
        <v>9.9009900990099011E-3</v>
      </c>
      <c r="R31">
        <f t="shared" si="4"/>
        <v>8.726826950457601E-5</v>
      </c>
      <c r="S31">
        <f t="shared" si="5"/>
        <v>10.184611974899774</v>
      </c>
      <c r="T31">
        <f>SUM($S$2:S31)</f>
        <v>397.93581780209763</v>
      </c>
      <c r="U31">
        <f t="shared" si="6"/>
        <v>8.363302691516644</v>
      </c>
      <c r="W31">
        <f t="shared" si="7"/>
        <v>117062.16384614442</v>
      </c>
    </row>
    <row r="32" spans="1:23" x14ac:dyDescent="0.35">
      <c r="A32">
        <v>30</v>
      </c>
      <c r="B32">
        <v>9</v>
      </c>
      <c r="C32">
        <v>14668.306382681059</v>
      </c>
      <c r="D32">
        <f t="shared" si="0"/>
        <v>70</v>
      </c>
      <c r="E32">
        <f t="shared" si="1"/>
        <v>6.6000000000000005</v>
      </c>
      <c r="F32">
        <f t="shared" si="2"/>
        <v>96810.822125695006</v>
      </c>
      <c r="M32">
        <v>70</v>
      </c>
      <c r="N32">
        <f t="shared" si="3"/>
        <v>9.9009900990099011E-3</v>
      </c>
      <c r="R32">
        <f t="shared" si="4"/>
        <v>1.2322191684730198E-4</v>
      </c>
      <c r="S32">
        <f t="shared" si="5"/>
        <v>10.301461328763633</v>
      </c>
      <c r="T32">
        <f>SUM($S$2:S32)</f>
        <v>408.23727913086128</v>
      </c>
      <c r="U32">
        <f t="shared" si="6"/>
        <v>8.3468203533906209</v>
      </c>
      <c r="W32">
        <f t="shared" si="7"/>
        <v>122433.71826473183</v>
      </c>
    </row>
    <row r="33" spans="1:23" x14ac:dyDescent="0.35">
      <c r="A33">
        <v>31</v>
      </c>
      <c r="B33">
        <v>9</v>
      </c>
      <c r="C33">
        <v>15366.797162808731</v>
      </c>
      <c r="D33">
        <f t="shared" si="0"/>
        <v>69</v>
      </c>
      <c r="E33">
        <f t="shared" si="1"/>
        <v>6.5200000000000005</v>
      </c>
      <c r="F33">
        <f t="shared" si="2"/>
        <v>100191.51750151294</v>
      </c>
      <c r="M33">
        <v>69</v>
      </c>
      <c r="N33">
        <f t="shared" si="3"/>
        <v>9.9009900990099011E-3</v>
      </c>
      <c r="R33">
        <f t="shared" si="4"/>
        <v>1.722568939053681E-4</v>
      </c>
      <c r="S33">
        <f t="shared" si="5"/>
        <v>10.460825004202349</v>
      </c>
      <c r="T33">
        <f>SUM($S$2:S33)</f>
        <v>418.69810413506366</v>
      </c>
      <c r="U33">
        <f t="shared" si="6"/>
        <v>8.3300830333838984</v>
      </c>
      <c r="W33">
        <f t="shared" si="7"/>
        <v>128006.69632336484</v>
      </c>
    </row>
    <row r="34" spans="1:23" x14ac:dyDescent="0.35">
      <c r="A34">
        <v>32</v>
      </c>
      <c r="B34">
        <v>9</v>
      </c>
      <c r="C34">
        <v>16065.2879429364</v>
      </c>
      <c r="D34">
        <f t="shared" si="0"/>
        <v>68</v>
      </c>
      <c r="E34">
        <f t="shared" si="1"/>
        <v>6.44</v>
      </c>
      <c r="F34">
        <f t="shared" si="2"/>
        <v>103460.45435251042</v>
      </c>
      <c r="M34">
        <v>68</v>
      </c>
      <c r="N34">
        <f t="shared" si="3"/>
        <v>9.9009900990099011E-3</v>
      </c>
      <c r="R34">
        <f t="shared" si="4"/>
        <v>2.3840882014648405E-4</v>
      </c>
      <c r="S34">
        <f t="shared" si="5"/>
        <v>10.675818764485975</v>
      </c>
      <c r="T34">
        <f>SUM($S$2:S34)</f>
        <v>429.37392289954965</v>
      </c>
      <c r="U34">
        <f t="shared" si="6"/>
        <v>8.3130017233607205</v>
      </c>
      <c r="W34">
        <f t="shared" si="7"/>
        <v>133550.76635591651</v>
      </c>
    </row>
    <row r="35" spans="1:23" x14ac:dyDescent="0.35">
      <c r="A35">
        <v>33</v>
      </c>
      <c r="B35">
        <v>9</v>
      </c>
      <c r="C35">
        <v>16763.778723064072</v>
      </c>
      <c r="D35">
        <f t="shared" si="0"/>
        <v>67</v>
      </c>
      <c r="E35">
        <f t="shared" si="1"/>
        <v>6.36</v>
      </c>
      <c r="F35">
        <f t="shared" si="2"/>
        <v>106617.6326786875</v>
      </c>
      <c r="M35">
        <v>67</v>
      </c>
      <c r="N35">
        <f t="shared" si="3"/>
        <v>9.9009900990099011E-3</v>
      </c>
      <c r="R35">
        <f t="shared" si="4"/>
        <v>3.2668190561999186E-4</v>
      </c>
      <c r="S35">
        <f t="shared" si="5"/>
        <v>10.962706292274875</v>
      </c>
      <c r="T35">
        <f>SUM($S$2:S35)</f>
        <v>440.33662919182456</v>
      </c>
      <c r="U35">
        <f t="shared" si="6"/>
        <v>8.2954613932930812</v>
      </c>
      <c r="W35">
        <f t="shared" si="7"/>
        <v>139063.27920288598</v>
      </c>
    </row>
    <row r="36" spans="1:23" x14ac:dyDescent="0.35">
      <c r="A36">
        <v>34</v>
      </c>
      <c r="B36">
        <v>9</v>
      </c>
      <c r="C36">
        <v>17462.269503191739</v>
      </c>
      <c r="D36">
        <f t="shared" si="0"/>
        <v>66</v>
      </c>
      <c r="E36">
        <f t="shared" si="1"/>
        <v>6.28</v>
      </c>
      <c r="F36">
        <f t="shared" si="2"/>
        <v>109663.05248004412</v>
      </c>
      <c r="M36">
        <v>66</v>
      </c>
      <c r="N36">
        <f t="shared" si="3"/>
        <v>9.9009900990099011E-3</v>
      </c>
      <c r="R36">
        <f t="shared" si="4"/>
        <v>4.4318484119380076E-4</v>
      </c>
      <c r="S36">
        <f t="shared" si="5"/>
        <v>11.341340832889752</v>
      </c>
      <c r="T36">
        <f>SUM($S$2:S36)</f>
        <v>451.67797002471428</v>
      </c>
      <c r="U36">
        <f t="shared" si="6"/>
        <v>8.2773152479604573</v>
      </c>
      <c r="W36">
        <f t="shared" si="7"/>
        <v>144540.70962276385</v>
      </c>
    </row>
    <row r="37" spans="1:23" x14ac:dyDescent="0.35">
      <c r="A37">
        <v>35</v>
      </c>
      <c r="B37">
        <v>10</v>
      </c>
      <c r="C37">
        <v>18185.079726885429</v>
      </c>
      <c r="D37">
        <f t="shared" si="0"/>
        <v>65</v>
      </c>
      <c r="E37">
        <f t="shared" si="1"/>
        <v>6.2</v>
      </c>
      <c r="F37">
        <f t="shared" si="2"/>
        <v>112747.49430668967</v>
      </c>
      <c r="M37">
        <v>65</v>
      </c>
      <c r="N37">
        <f t="shared" si="3"/>
        <v>9.9009900990099011E-3</v>
      </c>
      <c r="R37">
        <f t="shared" si="4"/>
        <v>5.9525324197758534E-4</v>
      </c>
      <c r="S37">
        <f t="shared" si="5"/>
        <v>11.835563135437054</v>
      </c>
      <c r="T37">
        <f>SUM($S$2:S37)</f>
        <v>463.51353316015133</v>
      </c>
      <c r="U37">
        <f t="shared" si="6"/>
        <v>8.2583783469437577</v>
      </c>
      <c r="W37">
        <f t="shared" si="7"/>
        <v>150179.26865395653</v>
      </c>
    </row>
    <row r="38" spans="1:23" x14ac:dyDescent="0.35">
      <c r="A38">
        <v>36</v>
      </c>
      <c r="B38">
        <v>10</v>
      </c>
      <c r="C38">
        <v>18912.482915960849</v>
      </c>
      <c r="D38">
        <f t="shared" si="0"/>
        <v>64</v>
      </c>
      <c r="E38">
        <f t="shared" si="1"/>
        <v>6.12</v>
      </c>
      <c r="F38">
        <f t="shared" si="2"/>
        <v>115744.39544568039</v>
      </c>
      <c r="M38">
        <v>64</v>
      </c>
      <c r="N38">
        <f t="shared" si="3"/>
        <v>9.9009900990099011E-3</v>
      </c>
      <c r="R38">
        <f t="shared" si="4"/>
        <v>7.9154515829799694E-4</v>
      </c>
      <c r="S38">
        <f t="shared" si="5"/>
        <v>12.473511863478391</v>
      </c>
      <c r="T38">
        <f>SUM($S$2:S38)</f>
        <v>475.98704502362972</v>
      </c>
      <c r="U38">
        <f t="shared" si="6"/>
        <v>8.2384207279621933</v>
      </c>
      <c r="W38">
        <f t="shared" si="7"/>
        <v>155808.99127208273</v>
      </c>
    </row>
    <row r="39" spans="1:23" x14ac:dyDescent="0.35">
      <c r="A39">
        <v>37</v>
      </c>
      <c r="B39">
        <v>10</v>
      </c>
      <c r="C39">
        <v>19639.886105036261</v>
      </c>
      <c r="D39">
        <f t="shared" si="0"/>
        <v>63</v>
      </c>
      <c r="E39">
        <f t="shared" si="1"/>
        <v>6.04</v>
      </c>
      <c r="F39">
        <f t="shared" si="2"/>
        <v>118624.91207441901</v>
      </c>
      <c r="M39">
        <v>63</v>
      </c>
      <c r="N39">
        <f t="shared" si="3"/>
        <v>9.9009900990099011E-3</v>
      </c>
      <c r="R39">
        <f t="shared" si="4"/>
        <v>1.0420934814422591E-3</v>
      </c>
      <c r="S39">
        <f t="shared" si="5"/>
        <v>13.287793913697243</v>
      </c>
      <c r="T39">
        <f>SUM($S$2:S39)</f>
        <v>489.27483893732699</v>
      </c>
      <c r="U39">
        <f t="shared" si="6"/>
        <v>8.2171602577002751</v>
      </c>
      <c r="W39">
        <f t="shared" si="7"/>
        <v>161384.09156806383</v>
      </c>
    </row>
    <row r="40" spans="1:23" x14ac:dyDescent="0.35">
      <c r="A40">
        <v>38</v>
      </c>
      <c r="B40">
        <v>10</v>
      </c>
      <c r="C40">
        <v>20367.289294111681</v>
      </c>
      <c r="D40">
        <f t="shared" si="0"/>
        <v>62</v>
      </c>
      <c r="E40">
        <f t="shared" si="1"/>
        <v>5.96</v>
      </c>
      <c r="F40">
        <f t="shared" si="2"/>
        <v>121389.04419290561</v>
      </c>
      <c r="M40">
        <v>62</v>
      </c>
      <c r="N40">
        <f t="shared" si="3"/>
        <v>9.9009900990099011E-3</v>
      </c>
      <c r="R40">
        <f t="shared" si="4"/>
        <v>1.3582969233685612E-3</v>
      </c>
      <c r="S40">
        <f t="shared" si="5"/>
        <v>14.315455099957726</v>
      </c>
      <c r="T40">
        <f>SUM($S$2:S40)</f>
        <v>503.59029403728471</v>
      </c>
      <c r="U40">
        <f t="shared" si="6"/>
        <v>8.1942555295403459</v>
      </c>
      <c r="W40">
        <f t="shared" si="7"/>
        <v>166894.77292002251</v>
      </c>
    </row>
    <row r="41" spans="1:23" x14ac:dyDescent="0.35">
      <c r="A41">
        <v>39</v>
      </c>
      <c r="B41">
        <v>11</v>
      </c>
      <c r="C41">
        <v>21106.348212626759</v>
      </c>
      <c r="D41">
        <f t="shared" si="0"/>
        <v>61</v>
      </c>
      <c r="E41">
        <f t="shared" si="1"/>
        <v>5.88</v>
      </c>
      <c r="F41">
        <f t="shared" si="2"/>
        <v>124105.32749024534</v>
      </c>
      <c r="M41">
        <v>61</v>
      </c>
      <c r="N41">
        <f t="shared" si="3"/>
        <v>9.9009900990099011E-3</v>
      </c>
      <c r="R41">
        <f t="shared" si="4"/>
        <v>1.752830049356854E-3</v>
      </c>
      <c r="S41">
        <f t="shared" si="5"/>
        <v>15.597687759419678</v>
      </c>
      <c r="T41">
        <f>SUM($S$2:S41)</f>
        <v>519.18798179670443</v>
      </c>
      <c r="U41">
        <f t="shared" si="6"/>
        <v>8.1692992291252722</v>
      </c>
      <c r="W41">
        <f t="shared" si="7"/>
        <v>172424.07418306134</v>
      </c>
    </row>
    <row r="42" spans="1:23" x14ac:dyDescent="0.35">
      <c r="A42">
        <v>40</v>
      </c>
      <c r="B42">
        <v>11</v>
      </c>
      <c r="C42">
        <v>21860.146363077722</v>
      </c>
      <c r="D42">
        <f t="shared" si="0"/>
        <v>60</v>
      </c>
      <c r="E42">
        <f t="shared" si="1"/>
        <v>5.8</v>
      </c>
      <c r="F42">
        <f t="shared" si="2"/>
        <v>126788.84890585078</v>
      </c>
      <c r="M42">
        <v>60</v>
      </c>
      <c r="N42">
        <f t="shared" si="3"/>
        <v>9.9009900990099011E-3</v>
      </c>
      <c r="R42">
        <f t="shared" si="4"/>
        <v>2.2394530294842902E-3</v>
      </c>
      <c r="S42">
        <f t="shared" si="5"/>
        <v>17.179212444833844</v>
      </c>
      <c r="T42">
        <f>SUM($S$2:S42)</f>
        <v>536.3671942415383</v>
      </c>
      <c r="U42">
        <f t="shared" si="6"/>
        <v>8.1418124892135388</v>
      </c>
      <c r="W42">
        <f t="shared" si="7"/>
        <v>177981.2126749421</v>
      </c>
    </row>
    <row r="43" spans="1:23" x14ac:dyDescent="0.35">
      <c r="A43">
        <v>41</v>
      </c>
      <c r="B43">
        <v>11</v>
      </c>
      <c r="C43">
        <v>22613.94451352867</v>
      </c>
      <c r="D43">
        <f t="shared" si="0"/>
        <v>59</v>
      </c>
      <c r="E43">
        <f t="shared" si="1"/>
        <v>5.72</v>
      </c>
      <c r="F43">
        <f t="shared" si="2"/>
        <v>129351.76261738398</v>
      </c>
      <c r="M43">
        <v>59</v>
      </c>
      <c r="N43">
        <f t="shared" si="3"/>
        <v>9.9009900990099011E-3</v>
      </c>
      <c r="R43">
        <f t="shared" si="4"/>
        <v>2.8327037741601186E-3</v>
      </c>
      <c r="S43">
        <f t="shared" si="5"/>
        <v>19.107277365030289</v>
      </c>
      <c r="T43">
        <f>SUM($S$2:S43)</f>
        <v>555.47447160656861</v>
      </c>
      <c r="U43">
        <f t="shared" si="6"/>
        <v>8.1112408454294886</v>
      </c>
      <c r="W43">
        <f t="shared" si="7"/>
        <v>183427.15041440984</v>
      </c>
    </row>
    <row r="44" spans="1:23" x14ac:dyDescent="0.35">
      <c r="A44">
        <v>42</v>
      </c>
      <c r="B44">
        <v>11</v>
      </c>
      <c r="C44">
        <v>23367.742663979629</v>
      </c>
      <c r="D44">
        <f t="shared" si="0"/>
        <v>58</v>
      </c>
      <c r="E44">
        <f t="shared" si="1"/>
        <v>5.64</v>
      </c>
      <c r="F44">
        <f t="shared" si="2"/>
        <v>131794.06862484509</v>
      </c>
      <c r="M44">
        <v>58</v>
      </c>
      <c r="N44">
        <f t="shared" si="3"/>
        <v>9.9009900990099011E-3</v>
      </c>
      <c r="R44">
        <f t="shared" si="4"/>
        <v>3.5474592846231421E-3</v>
      </c>
      <c r="S44">
        <f t="shared" si="5"/>
        <v>21.430232774035115</v>
      </c>
      <c r="T44">
        <f>SUM($S$2:S44)</f>
        <v>576.90470438060368</v>
      </c>
      <c r="U44">
        <f t="shared" si="6"/>
        <v>8.0769524729910334</v>
      </c>
      <c r="W44">
        <f t="shared" si="7"/>
        <v>188740.14689804835</v>
      </c>
    </row>
    <row r="45" spans="1:23" x14ac:dyDescent="0.35">
      <c r="A45">
        <v>43</v>
      </c>
      <c r="B45">
        <v>11</v>
      </c>
      <c r="C45">
        <v>24121.54081443058</v>
      </c>
      <c r="D45">
        <f t="shared" si="0"/>
        <v>57</v>
      </c>
      <c r="E45">
        <f t="shared" si="1"/>
        <v>5.5600000000000005</v>
      </c>
      <c r="F45">
        <f t="shared" si="2"/>
        <v>134115.76692823405</v>
      </c>
      <c r="M45">
        <v>57</v>
      </c>
      <c r="N45">
        <f t="shared" si="3"/>
        <v>9.9009900990099011E-3</v>
      </c>
      <c r="R45">
        <f t="shared" si="4"/>
        <v>4.3983595980427196E-3</v>
      </c>
      <c r="S45">
        <f t="shared" si="5"/>
        <v>24.195658792648739</v>
      </c>
      <c r="T45">
        <f>SUM($S$2:S45)</f>
        <v>601.10036317325239</v>
      </c>
      <c r="U45">
        <f t="shared" si="6"/>
        <v>8.0382394189227959</v>
      </c>
      <c r="W45">
        <f t="shared" si="7"/>
        <v>193894.72021971096</v>
      </c>
    </row>
    <row r="46" spans="1:23" x14ac:dyDescent="0.35">
      <c r="A46">
        <v>44</v>
      </c>
      <c r="B46">
        <v>12</v>
      </c>
      <c r="C46">
        <v>24898.533157466682</v>
      </c>
      <c r="D46">
        <f t="shared" si="0"/>
        <v>56</v>
      </c>
      <c r="E46">
        <f t="shared" si="1"/>
        <v>5.48</v>
      </c>
      <c r="F46">
        <f t="shared" si="2"/>
        <v>136443.96170291741</v>
      </c>
      <c r="M46">
        <v>56</v>
      </c>
      <c r="N46">
        <f t="shared" si="3"/>
        <v>9.9009900990099011E-3</v>
      </c>
      <c r="R46">
        <f t="shared" si="4"/>
        <v>5.3990966513188061E-3</v>
      </c>
      <c r="S46">
        <f t="shared" si="5"/>
        <v>27.448054215796024</v>
      </c>
      <c r="T46">
        <f>SUM($S$2:S46)</f>
        <v>628.54841738904838</v>
      </c>
      <c r="U46">
        <f t="shared" si="6"/>
        <v>7.9943225321775229</v>
      </c>
      <c r="W46">
        <f t="shared" si="7"/>
        <v>199046.90463890505</v>
      </c>
    </row>
    <row r="47" spans="1:23" x14ac:dyDescent="0.35">
      <c r="A47">
        <v>45</v>
      </c>
      <c r="B47">
        <v>12</v>
      </c>
      <c r="C47">
        <v>25676.612318637512</v>
      </c>
      <c r="D47">
        <f t="shared" si="0"/>
        <v>55</v>
      </c>
      <c r="E47">
        <f t="shared" si="1"/>
        <v>5.4</v>
      </c>
      <c r="F47">
        <f t="shared" si="2"/>
        <v>138653.70652064256</v>
      </c>
      <c r="M47">
        <v>55</v>
      </c>
      <c r="N47">
        <f t="shared" si="3"/>
        <v>9.9009900990099011E-3</v>
      </c>
      <c r="R47">
        <f t="shared" si="4"/>
        <v>6.5615814774676604E-3</v>
      </c>
      <c r="S47">
        <f t="shared" si="5"/>
        <v>31.226129900779799</v>
      </c>
      <c r="T47">
        <f>SUM($S$2:S47)</f>
        <v>659.77454728982821</v>
      </c>
      <c r="U47">
        <f t="shared" si="6"/>
        <v>7.9443607243362759</v>
      </c>
      <c r="W47">
        <f t="shared" si="7"/>
        <v>203984.27043819285</v>
      </c>
    </row>
    <row r="48" spans="1:23" x14ac:dyDescent="0.35">
      <c r="A48">
        <v>46</v>
      </c>
      <c r="B48">
        <v>12</v>
      </c>
      <c r="C48">
        <v>26454.691479808349</v>
      </c>
      <c r="D48">
        <f t="shared" si="0"/>
        <v>54</v>
      </c>
      <c r="E48">
        <f t="shared" si="1"/>
        <v>5.32</v>
      </c>
      <c r="F48">
        <f t="shared" si="2"/>
        <v>140738.95867258043</v>
      </c>
      <c r="M48">
        <v>54</v>
      </c>
      <c r="N48">
        <f t="shared" si="3"/>
        <v>9.9009900990099011E-3</v>
      </c>
      <c r="R48">
        <f t="shared" si="4"/>
        <v>7.8950158300894139E-3</v>
      </c>
      <c r="S48">
        <f t="shared" si="5"/>
        <v>35.559791546800497</v>
      </c>
      <c r="T48">
        <f>SUM($S$2:S48)</f>
        <v>695.33433883662872</v>
      </c>
      <c r="U48">
        <f t="shared" si="6"/>
        <v>7.8874650578613945</v>
      </c>
      <c r="W48">
        <f t="shared" si="7"/>
        <v>208660.4546634919</v>
      </c>
    </row>
    <row r="49" spans="1:23" x14ac:dyDescent="0.35">
      <c r="A49">
        <v>47</v>
      </c>
      <c r="B49">
        <v>12</v>
      </c>
      <c r="C49">
        <v>27232.770640979179</v>
      </c>
      <c r="D49">
        <f t="shared" si="0"/>
        <v>53</v>
      </c>
      <c r="E49">
        <f t="shared" si="1"/>
        <v>5.24</v>
      </c>
      <c r="F49">
        <f t="shared" si="2"/>
        <v>142699.71815873092</v>
      </c>
      <c r="M49">
        <v>53</v>
      </c>
      <c r="N49">
        <f t="shared" si="3"/>
        <v>9.9009900990099011E-3</v>
      </c>
      <c r="R49">
        <f t="shared" si="4"/>
        <v>9.4049077376886937E-3</v>
      </c>
      <c r="S49">
        <f t="shared" si="5"/>
        <v>40.466940246498154</v>
      </c>
      <c r="T49">
        <f>SUM($S$2:S49)</f>
        <v>735.80127908312693</v>
      </c>
      <c r="U49">
        <f t="shared" si="6"/>
        <v>7.8227179534669968</v>
      </c>
      <c r="W49">
        <f t="shared" si="7"/>
        <v>213034.28381583677</v>
      </c>
    </row>
    <row r="50" spans="1:23" x14ac:dyDescent="0.35">
      <c r="A50">
        <v>48</v>
      </c>
      <c r="B50">
        <v>13</v>
      </c>
      <c r="C50">
        <v>28019.59530184801</v>
      </c>
      <c r="D50">
        <f t="shared" si="0"/>
        <v>52</v>
      </c>
      <c r="E50">
        <f t="shared" si="1"/>
        <v>5.16</v>
      </c>
      <c r="F50">
        <f t="shared" si="2"/>
        <v>144581.11175753575</v>
      </c>
      <c r="M50">
        <v>52</v>
      </c>
      <c r="N50">
        <f t="shared" si="3"/>
        <v>9.9009900990099011E-3</v>
      </c>
      <c r="R50">
        <f t="shared" si="4"/>
        <v>1.1092083467945555E-2</v>
      </c>
      <c r="S50">
        <f t="shared" si="5"/>
        <v>45.950261369832958</v>
      </c>
      <c r="T50">
        <f>SUM($S$2:S50)</f>
        <v>781.75154045295994</v>
      </c>
      <c r="U50">
        <f t="shared" si="6"/>
        <v>7.7491975352752638</v>
      </c>
      <c r="W50">
        <f t="shared" si="7"/>
        <v>217129.37885249098</v>
      </c>
    </row>
    <row r="51" spans="1:23" x14ac:dyDescent="0.35">
      <c r="A51">
        <v>49</v>
      </c>
      <c r="B51">
        <v>13</v>
      </c>
      <c r="C51">
        <v>28820.155167615088</v>
      </c>
      <c r="D51">
        <f t="shared" si="0"/>
        <v>51</v>
      </c>
      <c r="E51">
        <f t="shared" si="1"/>
        <v>5.08</v>
      </c>
      <c r="F51">
        <f t="shared" si="2"/>
        <v>146406.38825148466</v>
      </c>
      <c r="M51">
        <v>51</v>
      </c>
      <c r="N51">
        <f t="shared" si="3"/>
        <v>9.9009900990099011E-3</v>
      </c>
      <c r="R51">
        <f t="shared" si="4"/>
        <v>1.2951759566589173E-2</v>
      </c>
      <c r="S51">
        <f t="shared" si="5"/>
        <v>51.994208690424713</v>
      </c>
      <c r="T51">
        <f>SUM($S$2:S51)</f>
        <v>833.74574914338461</v>
      </c>
      <c r="U51">
        <f t="shared" si="6"/>
        <v>7.6660068013705853</v>
      </c>
      <c r="W51">
        <f t="shared" si="7"/>
        <v>220935.50553149288</v>
      </c>
    </row>
    <row r="52" spans="1:23" x14ac:dyDescent="0.35">
      <c r="A52">
        <v>50</v>
      </c>
      <c r="B52">
        <v>13</v>
      </c>
      <c r="C52">
        <v>29620.71503338217</v>
      </c>
      <c r="D52">
        <f t="shared" si="0"/>
        <v>50</v>
      </c>
      <c r="E52">
        <f t="shared" si="1"/>
        <v>5</v>
      </c>
      <c r="F52">
        <f t="shared" si="2"/>
        <v>148103.57516691086</v>
      </c>
      <c r="M52">
        <v>50</v>
      </c>
      <c r="N52">
        <f t="shared" si="3"/>
        <v>9.9009900990099011E-3</v>
      </c>
      <c r="R52">
        <f t="shared" si="4"/>
        <v>1.4972746563574486E-2</v>
      </c>
      <c r="S52">
        <f t="shared" si="5"/>
        <v>58.562416430626982</v>
      </c>
      <c r="T52">
        <f>SUM($S$2:S52)</f>
        <v>892.30816557401158</v>
      </c>
      <c r="U52">
        <f t="shared" si="6"/>
        <v>7.5723069350815813</v>
      </c>
      <c r="W52">
        <f t="shared" si="7"/>
        <v>224297.14586935507</v>
      </c>
    </row>
    <row r="53" spans="1:23" x14ac:dyDescent="0.35">
      <c r="A53">
        <v>51</v>
      </c>
      <c r="B53">
        <v>13</v>
      </c>
      <c r="C53">
        <v>30421.274899149259</v>
      </c>
      <c r="D53">
        <f t="shared" si="0"/>
        <v>49</v>
      </c>
      <c r="E53">
        <f t="shared" si="1"/>
        <v>4.92</v>
      </c>
      <c r="F53">
        <f t="shared" si="2"/>
        <v>149672.67250381436</v>
      </c>
      <c r="M53">
        <v>49</v>
      </c>
      <c r="N53">
        <f t="shared" si="3"/>
        <v>9.9009900990099011E-3</v>
      </c>
      <c r="R53">
        <f t="shared" si="4"/>
        <v>1.7136859204780735E-2</v>
      </c>
      <c r="S53">
        <f t="shared" si="5"/>
        <v>65.595782514547295</v>
      </c>
      <c r="T53">
        <f>SUM($S$2:S53)</f>
        <v>957.90394808855888</v>
      </c>
      <c r="U53">
        <f t="shared" si="6"/>
        <v>7.467353683058306</v>
      </c>
      <c r="W53">
        <f t="shared" si="7"/>
        <v>227166.41916149142</v>
      </c>
    </row>
    <row r="54" spans="1:23" x14ac:dyDescent="0.35">
      <c r="A54">
        <v>52</v>
      </c>
      <c r="B54">
        <v>13</v>
      </c>
      <c r="C54">
        <v>31221.834764916352</v>
      </c>
      <c r="D54">
        <f t="shared" si="0"/>
        <v>48</v>
      </c>
      <c r="E54">
        <f t="shared" si="1"/>
        <v>4.84</v>
      </c>
      <c r="F54">
        <f t="shared" si="2"/>
        <v>151113.68026219515</v>
      </c>
      <c r="M54">
        <v>48</v>
      </c>
      <c r="N54">
        <f t="shared" si="3"/>
        <v>9.9009900990099011E-3</v>
      </c>
      <c r="R54">
        <f t="shared" si="4"/>
        <v>1.9418605498321296E-2</v>
      </c>
      <c r="S54">
        <f t="shared" si="5"/>
        <v>73.011457968554112</v>
      </c>
      <c r="T54">
        <f>SUM($S$2:S54)</f>
        <v>1030.9154060571129</v>
      </c>
      <c r="U54">
        <f t="shared" si="6"/>
        <v>7.3505353503086193</v>
      </c>
      <c r="W54">
        <f t="shared" si="7"/>
        <v>229497.20014101223</v>
      </c>
    </row>
    <row r="55" spans="1:23" x14ac:dyDescent="0.35">
      <c r="A55">
        <v>53</v>
      </c>
      <c r="B55">
        <v>14</v>
      </c>
      <c r="C55">
        <v>32038.067140526298</v>
      </c>
      <c r="D55">
        <f t="shared" si="0"/>
        <v>47</v>
      </c>
      <c r="E55">
        <f t="shared" si="1"/>
        <v>4.76</v>
      </c>
      <c r="F55">
        <f t="shared" si="2"/>
        <v>152501.19958890518</v>
      </c>
      <c r="M55">
        <v>47</v>
      </c>
      <c r="N55">
        <f t="shared" si="3"/>
        <v>9.9009900990099011E-3</v>
      </c>
      <c r="R55">
        <f t="shared" si="4"/>
        <v>2.1785217703255054E-2</v>
      </c>
      <c r="S55">
        <f t="shared" si="5"/>
        <v>80.70294763458881</v>
      </c>
      <c r="T55">
        <f>SUM($S$2:S55)</f>
        <v>1111.6183536917017</v>
      </c>
      <c r="U55">
        <f t="shared" si="6"/>
        <v>7.221410634093278</v>
      </c>
      <c r="W55">
        <f t="shared" si="7"/>
        <v>231360.03874439103</v>
      </c>
    </row>
    <row r="56" spans="1:23" x14ac:dyDescent="0.35">
      <c r="A56">
        <v>54</v>
      </c>
      <c r="B56">
        <v>14</v>
      </c>
      <c r="C56">
        <v>32859.556041565433</v>
      </c>
      <c r="D56">
        <f t="shared" si="0"/>
        <v>46</v>
      </c>
      <c r="E56">
        <f t="shared" si="1"/>
        <v>4.68</v>
      </c>
      <c r="F56">
        <f t="shared" si="2"/>
        <v>153782.72227452623</v>
      </c>
      <c r="M56">
        <v>46</v>
      </c>
      <c r="N56">
        <f t="shared" si="3"/>
        <v>9.9009900990099011E-3</v>
      </c>
      <c r="R56">
        <f t="shared" si="4"/>
        <v>2.4197072451914336E-2</v>
      </c>
      <c r="S56">
        <f t="shared" si="5"/>
        <v>88.541475567731482</v>
      </c>
      <c r="T56">
        <f>SUM($S$2:S56)</f>
        <v>1200.1598292594331</v>
      </c>
      <c r="U56">
        <f t="shared" si="6"/>
        <v>7.0797442731849074</v>
      </c>
      <c r="W56">
        <f t="shared" si="7"/>
        <v>232637.2537046714</v>
      </c>
    </row>
    <row r="57" spans="1:23" x14ac:dyDescent="0.35">
      <c r="A57">
        <v>55</v>
      </c>
      <c r="B57">
        <v>14</v>
      </c>
      <c r="C57">
        <v>33681.04494260456</v>
      </c>
      <c r="D57">
        <f t="shared" si="0"/>
        <v>45</v>
      </c>
      <c r="E57">
        <f t="shared" si="1"/>
        <v>4.5999999999999996</v>
      </c>
      <c r="F57">
        <f t="shared" si="2"/>
        <v>154932.80673598096</v>
      </c>
      <c r="M57">
        <v>45</v>
      </c>
      <c r="N57">
        <f t="shared" si="3"/>
        <v>9.9009900990099011E-3</v>
      </c>
      <c r="R57">
        <f t="shared" si="4"/>
        <v>2.6608524989875482E-2</v>
      </c>
      <c r="S57">
        <f t="shared" si="5"/>
        <v>96.378696316105206</v>
      </c>
      <c r="T57">
        <f>SUM($S$2:S57)</f>
        <v>1296.5385255755382</v>
      </c>
      <c r="U57">
        <f t="shared" si="6"/>
        <v>6.9255383590791393</v>
      </c>
      <c r="W57">
        <f t="shared" si="7"/>
        <v>233259.36872387634</v>
      </c>
    </row>
    <row r="58" spans="1:23" x14ac:dyDescent="0.35">
      <c r="A58">
        <v>56</v>
      </c>
      <c r="B58">
        <v>14</v>
      </c>
      <c r="C58">
        <v>34502.533843643701</v>
      </c>
      <c r="D58">
        <f t="shared" si="0"/>
        <v>44</v>
      </c>
      <c r="E58">
        <f t="shared" si="1"/>
        <v>4.5199999999999996</v>
      </c>
      <c r="F58">
        <f t="shared" si="2"/>
        <v>155951.45297326951</v>
      </c>
      <c r="M58">
        <v>44</v>
      </c>
      <c r="N58">
        <f t="shared" si="3"/>
        <v>9.9009900990099011E-3</v>
      </c>
      <c r="R58">
        <f t="shared" si="4"/>
        <v>2.8969155276148274E-2</v>
      </c>
      <c r="S58">
        <f t="shared" si="5"/>
        <v>104.05074474649177</v>
      </c>
      <c r="T58">
        <f>SUM($S$2:S58)</f>
        <v>1400.58927032203</v>
      </c>
      <c r="U58">
        <f t="shared" si="6"/>
        <v>6.7590571674847526</v>
      </c>
      <c r="W58">
        <f t="shared" si="7"/>
        <v>233204.59867226522</v>
      </c>
    </row>
    <row r="59" spans="1:23" x14ac:dyDescent="0.35">
      <c r="A59">
        <v>57</v>
      </c>
      <c r="B59">
        <v>15</v>
      </c>
      <c r="C59">
        <v>35324.801654211413</v>
      </c>
      <c r="D59">
        <f t="shared" si="0"/>
        <v>43</v>
      </c>
      <c r="E59">
        <f t="shared" si="1"/>
        <v>4.4399999999999995</v>
      </c>
      <c r="F59">
        <f t="shared" si="2"/>
        <v>156842.11934469864</v>
      </c>
      <c r="M59">
        <v>43</v>
      </c>
      <c r="N59">
        <f t="shared" si="3"/>
        <v>9.9009900990099011E-3</v>
      </c>
      <c r="R59">
        <f t="shared" si="4"/>
        <v>3.1225393336676129E-2</v>
      </c>
      <c r="S59">
        <f t="shared" si="5"/>
        <v>111.38351844320732</v>
      </c>
      <c r="T59">
        <f>SUM($S$2:S59)</f>
        <v>1511.9727887652373</v>
      </c>
      <c r="U59">
        <f t="shared" si="6"/>
        <v>6.5808435379756203</v>
      </c>
      <c r="W59">
        <f t="shared" si="7"/>
        <v>232466.99269638766</v>
      </c>
    </row>
    <row r="60" spans="1:23" x14ac:dyDescent="0.35">
      <c r="A60">
        <v>58</v>
      </c>
      <c r="B60">
        <v>15</v>
      </c>
      <c r="C60">
        <v>36165.868360264067</v>
      </c>
      <c r="D60">
        <f t="shared" si="0"/>
        <v>42</v>
      </c>
      <c r="E60">
        <f t="shared" si="1"/>
        <v>4.3599999999999994</v>
      </c>
      <c r="F60">
        <f t="shared" si="2"/>
        <v>157683.1860507513</v>
      </c>
      <c r="M60">
        <v>42</v>
      </c>
      <c r="N60">
        <f t="shared" si="3"/>
        <v>9.9009900990099011E-3</v>
      </c>
      <c r="R60">
        <f t="shared" si="4"/>
        <v>3.3322460289179963E-2</v>
      </c>
      <c r="S60">
        <f t="shared" si="5"/>
        <v>118.19898603884479</v>
      </c>
      <c r="T60">
        <f>SUM($S$2:S60)</f>
        <v>1630.1717748040821</v>
      </c>
      <c r="U60">
        <f t="shared" si="6"/>
        <v>6.3917251603134693</v>
      </c>
      <c r="W60">
        <f t="shared" si="7"/>
        <v>231162.29074288468</v>
      </c>
    </row>
    <row r="61" spans="1:23" x14ac:dyDescent="0.35">
      <c r="A61">
        <v>59</v>
      </c>
      <c r="B61">
        <v>15</v>
      </c>
      <c r="C61">
        <v>37006.935066316713</v>
      </c>
      <c r="D61">
        <f t="shared" si="0"/>
        <v>41</v>
      </c>
      <c r="E61">
        <f t="shared" si="1"/>
        <v>4.28</v>
      </c>
      <c r="F61">
        <f t="shared" si="2"/>
        <v>158389.68208383553</v>
      </c>
      <c r="M61">
        <v>41</v>
      </c>
      <c r="N61">
        <f t="shared" si="3"/>
        <v>9.9009900990099011E-3</v>
      </c>
      <c r="R61">
        <f t="shared" si="4"/>
        <v>3.5206532676429952E-2</v>
      </c>
      <c r="S61">
        <f t="shared" si="5"/>
        <v>124.32222129740725</v>
      </c>
      <c r="T61">
        <f>SUM($S$2:S61)</f>
        <v>1754.4939961014893</v>
      </c>
      <c r="U61">
        <f t="shared" si="6"/>
        <v>6.192809606237617</v>
      </c>
      <c r="W61">
        <f t="shared" si="7"/>
        <v>229176.90297609786</v>
      </c>
    </row>
    <row r="62" spans="1:23" x14ac:dyDescent="0.35">
      <c r="A62">
        <v>60</v>
      </c>
      <c r="B62">
        <v>15</v>
      </c>
      <c r="C62">
        <v>37848.001772369367</v>
      </c>
      <c r="D62">
        <f t="shared" si="0"/>
        <v>40</v>
      </c>
      <c r="E62">
        <f t="shared" si="1"/>
        <v>4.2</v>
      </c>
      <c r="F62">
        <f t="shared" si="2"/>
        <v>158961.60744395136</v>
      </c>
      <c r="M62">
        <v>40</v>
      </c>
      <c r="N62">
        <f t="shared" si="3"/>
        <v>9.9009900990099011E-3</v>
      </c>
      <c r="R62">
        <f t="shared" si="4"/>
        <v>3.6827014030332332E-2</v>
      </c>
      <c r="S62">
        <f t="shared" si="5"/>
        <v>129.58878569758997</v>
      </c>
      <c r="T62">
        <f>SUM($S$2:S62)</f>
        <v>1884.0827817990794</v>
      </c>
      <c r="U62">
        <f t="shared" si="6"/>
        <v>5.9854675491214726</v>
      </c>
      <c r="W62">
        <f t="shared" si="7"/>
        <v>226537.98640760884</v>
      </c>
    </row>
    <row r="63" spans="1:23" x14ac:dyDescent="0.35">
      <c r="A63">
        <v>61</v>
      </c>
      <c r="B63">
        <v>15</v>
      </c>
      <c r="C63">
        <v>38689.068478422021</v>
      </c>
      <c r="D63">
        <f t="shared" si="0"/>
        <v>39</v>
      </c>
      <c r="E63">
        <f t="shared" si="1"/>
        <v>4.12</v>
      </c>
      <c r="F63">
        <f t="shared" si="2"/>
        <v>159398.96213109873</v>
      </c>
      <c r="M63">
        <v>39</v>
      </c>
      <c r="N63">
        <f t="shared" si="3"/>
        <v>9.9009900990099011E-3</v>
      </c>
      <c r="R63">
        <f t="shared" si="4"/>
        <v>3.8138781546052408E-2</v>
      </c>
      <c r="S63">
        <f t="shared" si="5"/>
        <v>133.85203012368021</v>
      </c>
      <c r="T63">
        <f>SUM($S$2:S63)</f>
        <v>2017.9348119227595</v>
      </c>
      <c r="U63">
        <f t="shared" si="6"/>
        <v>5.7713043009235845</v>
      </c>
      <c r="W63">
        <f t="shared" si="7"/>
        <v>223286.3873082441</v>
      </c>
    </row>
    <row r="64" spans="1:23" x14ac:dyDescent="0.35">
      <c r="A64">
        <v>62</v>
      </c>
      <c r="B64">
        <v>16</v>
      </c>
      <c r="C64">
        <v>39535.032442034957</v>
      </c>
      <c r="D64">
        <f t="shared" si="0"/>
        <v>38</v>
      </c>
      <c r="E64">
        <f t="shared" si="1"/>
        <v>4.04</v>
      </c>
      <c r="F64">
        <f t="shared" si="2"/>
        <v>159721.53106582124</v>
      </c>
      <c r="M64">
        <v>38</v>
      </c>
      <c r="N64">
        <f t="shared" si="3"/>
        <v>9.9009900990099011E-3</v>
      </c>
      <c r="R64">
        <f t="shared" si="4"/>
        <v>3.9104269397545591E-2</v>
      </c>
      <c r="S64">
        <f t="shared" si="5"/>
        <v>136.98986564103308</v>
      </c>
      <c r="T64">
        <f>SUM($S$2:S64)</f>
        <v>2154.9246775637926</v>
      </c>
      <c r="U64">
        <f t="shared" si="6"/>
        <v>5.5521205158979319</v>
      </c>
      <c r="W64">
        <f t="shared" si="7"/>
        <v>219503.26471811259</v>
      </c>
    </row>
    <row r="65" spans="1:23" x14ac:dyDescent="0.35">
      <c r="A65">
        <v>63</v>
      </c>
      <c r="B65">
        <v>16</v>
      </c>
      <c r="C65">
        <v>40394.48966903572</v>
      </c>
      <c r="D65">
        <f t="shared" si="0"/>
        <v>37</v>
      </c>
      <c r="E65">
        <f t="shared" si="1"/>
        <v>3.96</v>
      </c>
      <c r="F65">
        <f t="shared" si="2"/>
        <v>159962.17908938145</v>
      </c>
      <c r="M65">
        <v>37</v>
      </c>
      <c r="N65">
        <f t="shared" si="3"/>
        <v>9.9009900990099011E-3</v>
      </c>
      <c r="R65">
        <f t="shared" si="4"/>
        <v>3.9695254747701178E-2</v>
      </c>
      <c r="S65">
        <f t="shared" si="5"/>
        <v>138.91056802903873</v>
      </c>
      <c r="T65">
        <f>SUM($S$2:S65)</f>
        <v>2293.8352455928311</v>
      </c>
      <c r="U65">
        <f t="shared" si="6"/>
        <v>5.32986360705147</v>
      </c>
      <c r="W65">
        <f t="shared" si="7"/>
        <v>215297.12041241006</v>
      </c>
    </row>
    <row r="66" spans="1:23" x14ac:dyDescent="0.35">
      <c r="A66">
        <v>64</v>
      </c>
      <c r="B66">
        <v>16</v>
      </c>
      <c r="C66">
        <v>41253.946896036483</v>
      </c>
      <c r="D66">
        <f t="shared" si="0"/>
        <v>36</v>
      </c>
      <c r="E66">
        <f t="shared" si="1"/>
        <v>3.88</v>
      </c>
      <c r="F66">
        <f t="shared" si="2"/>
        <v>160065.31395662154</v>
      </c>
      <c r="M66">
        <v>36</v>
      </c>
      <c r="N66">
        <f t="shared" si="3"/>
        <v>9.9009900990099011E-3</v>
      </c>
      <c r="R66">
        <f t="shared" si="4"/>
        <v>3.9894228040143274E-2</v>
      </c>
      <c r="S66">
        <f t="shared" si="5"/>
        <v>139.55723122947555</v>
      </c>
      <c r="T66">
        <f>SUM($S$2:S66)</f>
        <v>2433.3924768223069</v>
      </c>
      <c r="U66">
        <f t="shared" si="6"/>
        <v>5.1065720370843088</v>
      </c>
      <c r="W66">
        <f t="shared" si="7"/>
        <v>210666.25163866093</v>
      </c>
    </row>
    <row r="67" spans="1:23" x14ac:dyDescent="0.35">
      <c r="A67">
        <v>65</v>
      </c>
      <c r="B67">
        <v>16</v>
      </c>
      <c r="C67">
        <v>42113.404123037239</v>
      </c>
      <c r="D67">
        <f t="shared" ref="D67:D102" si="8">100-A67</f>
        <v>35</v>
      </c>
      <c r="E67">
        <f t="shared" ref="E67:E102" si="9">D67*0.08+1</f>
        <v>3.8000000000000003</v>
      </c>
      <c r="F67">
        <f t="shared" ref="F67:F103" si="10">E67*C67</f>
        <v>160030.93566754152</v>
      </c>
      <c r="M67">
        <v>35</v>
      </c>
      <c r="N67">
        <f t="shared" ref="N67:N104" si="11">1/101</f>
        <v>9.9009900990099011E-3</v>
      </c>
      <c r="R67">
        <f t="shared" ref="R67:R103" si="12">_xlfn.NORM.DIST(M67,36,10,FALSE)</f>
        <v>3.9695254747701178E-2</v>
      </c>
      <c r="S67">
        <f t="shared" ref="S67:S104" si="13">($J$3*N67+$J$4*O67+$J$5*P67+$J$6*Q67+$J$7*R67)*5000</f>
        <v>138.91056802903873</v>
      </c>
      <c r="T67">
        <f>SUM($S$2:S67)</f>
        <v>2572.3030448513455</v>
      </c>
      <c r="U67">
        <f t="shared" ref="U67:U102" si="14">(5000-T67)/5000*8+1</f>
        <v>4.8843151282378479</v>
      </c>
      <c r="W67">
        <f t="shared" ref="W67:W104" si="15">U67*C67</f>
        <v>205695.13685974493</v>
      </c>
    </row>
    <row r="68" spans="1:23" x14ac:dyDescent="0.35">
      <c r="A68">
        <v>66</v>
      </c>
      <c r="B68">
        <v>16</v>
      </c>
      <c r="C68">
        <v>42972.861350038002</v>
      </c>
      <c r="D68">
        <f t="shared" si="8"/>
        <v>34</v>
      </c>
      <c r="E68">
        <f t="shared" si="9"/>
        <v>3.72</v>
      </c>
      <c r="F68">
        <f t="shared" si="10"/>
        <v>159859.04422214138</v>
      </c>
      <c r="M68">
        <v>34</v>
      </c>
      <c r="N68">
        <f t="shared" si="11"/>
        <v>9.9009900990099011E-3</v>
      </c>
      <c r="R68">
        <f t="shared" si="12"/>
        <v>3.9104269397545591E-2</v>
      </c>
      <c r="S68">
        <f t="shared" si="13"/>
        <v>136.98986564103308</v>
      </c>
      <c r="T68">
        <f>SUM($S$2:S68)</f>
        <v>2709.2929104923787</v>
      </c>
      <c r="U68">
        <f t="shared" si="14"/>
        <v>4.6651313432121935</v>
      </c>
      <c r="W68">
        <f t="shared" si="15"/>
        <v>200474.04239157413</v>
      </c>
    </row>
    <row r="69" spans="1:23" x14ac:dyDescent="0.35">
      <c r="A69">
        <v>67</v>
      </c>
      <c r="B69">
        <v>17</v>
      </c>
      <c r="C69">
        <v>43839.813568121113</v>
      </c>
      <c r="D69">
        <f t="shared" si="8"/>
        <v>33</v>
      </c>
      <c r="E69">
        <f t="shared" si="9"/>
        <v>3.64</v>
      </c>
      <c r="F69">
        <f t="shared" si="10"/>
        <v>159576.92138796087</v>
      </c>
      <c r="M69">
        <v>33</v>
      </c>
      <c r="N69">
        <f t="shared" si="11"/>
        <v>9.9009900990099011E-3</v>
      </c>
      <c r="R69">
        <f t="shared" si="12"/>
        <v>3.8138781546052408E-2</v>
      </c>
      <c r="S69">
        <f t="shared" si="13"/>
        <v>133.85203012368021</v>
      </c>
      <c r="T69">
        <f>SUM($S$2:S69)</f>
        <v>2843.1449406160591</v>
      </c>
      <c r="U69">
        <f t="shared" si="14"/>
        <v>4.4509680950143053</v>
      </c>
      <c r="W69">
        <f t="shared" si="15"/>
        <v>195129.61148308232</v>
      </c>
    </row>
    <row r="70" spans="1:23" x14ac:dyDescent="0.35">
      <c r="A70">
        <v>68</v>
      </c>
      <c r="B70">
        <v>17</v>
      </c>
      <c r="C70">
        <v>44716.609839483528</v>
      </c>
      <c r="D70">
        <f t="shared" si="8"/>
        <v>32</v>
      </c>
      <c r="E70">
        <f t="shared" si="9"/>
        <v>3.56</v>
      </c>
      <c r="F70">
        <f t="shared" si="10"/>
        <v>159191.13102856136</v>
      </c>
      <c r="M70">
        <v>32</v>
      </c>
      <c r="N70">
        <f t="shared" si="11"/>
        <v>9.9009900990099011E-3</v>
      </c>
      <c r="R70">
        <f t="shared" si="12"/>
        <v>3.6827014030332332E-2</v>
      </c>
      <c r="S70">
        <f t="shared" si="13"/>
        <v>129.58878569758997</v>
      </c>
      <c r="T70">
        <f>SUM($S$2:S70)</f>
        <v>2972.7337263136492</v>
      </c>
      <c r="U70">
        <f t="shared" si="14"/>
        <v>4.2436260378981618</v>
      </c>
      <c r="W70">
        <f t="shared" si="15"/>
        <v>189760.56984136545</v>
      </c>
    </row>
    <row r="71" spans="1:23" x14ac:dyDescent="0.35">
      <c r="A71">
        <v>69</v>
      </c>
      <c r="B71">
        <v>17</v>
      </c>
      <c r="C71">
        <v>45593.406110845957</v>
      </c>
      <c r="D71">
        <f t="shared" si="8"/>
        <v>31</v>
      </c>
      <c r="E71">
        <f t="shared" si="9"/>
        <v>3.48</v>
      </c>
      <c r="F71">
        <f t="shared" si="10"/>
        <v>158665.05326574392</v>
      </c>
      <c r="M71">
        <v>31</v>
      </c>
      <c r="N71">
        <f t="shared" si="11"/>
        <v>9.9009900990099011E-3</v>
      </c>
      <c r="R71">
        <f t="shared" si="12"/>
        <v>3.5206532676429952E-2</v>
      </c>
      <c r="S71">
        <f t="shared" si="13"/>
        <v>124.32222129740725</v>
      </c>
      <c r="T71">
        <f>SUM($S$2:S71)</f>
        <v>3097.0559476110566</v>
      </c>
      <c r="U71">
        <f t="shared" si="14"/>
        <v>4.0447104838223096</v>
      </c>
      <c r="W71">
        <f t="shared" si="15"/>
        <v>184412.1276897068</v>
      </c>
    </row>
    <row r="72" spans="1:23" x14ac:dyDescent="0.35">
      <c r="A72">
        <v>70</v>
      </c>
      <c r="B72">
        <v>17</v>
      </c>
      <c r="C72">
        <v>46470.202382208372</v>
      </c>
      <c r="D72">
        <f t="shared" si="8"/>
        <v>30</v>
      </c>
      <c r="E72">
        <f t="shared" si="9"/>
        <v>3.4</v>
      </c>
      <c r="F72">
        <f t="shared" si="10"/>
        <v>157998.68809950846</v>
      </c>
      <c r="M72">
        <v>30</v>
      </c>
      <c r="N72">
        <f t="shared" si="11"/>
        <v>9.9009900990099011E-3</v>
      </c>
      <c r="R72">
        <f t="shared" si="12"/>
        <v>3.3322460289179963E-2</v>
      </c>
      <c r="S72">
        <f t="shared" si="13"/>
        <v>118.19898603884479</v>
      </c>
      <c r="T72">
        <f>SUM($S$2:S72)</f>
        <v>3215.2549336499014</v>
      </c>
      <c r="U72">
        <f t="shared" si="14"/>
        <v>3.8555921061601577</v>
      </c>
      <c r="W72">
        <f t="shared" si="15"/>
        <v>179170.14547650755</v>
      </c>
    </row>
    <row r="73" spans="1:23" x14ac:dyDescent="0.35">
      <c r="A73">
        <v>71</v>
      </c>
      <c r="B73">
        <v>17</v>
      </c>
      <c r="C73">
        <v>47346.998653570801</v>
      </c>
      <c r="D73">
        <f t="shared" si="8"/>
        <v>29</v>
      </c>
      <c r="E73">
        <f t="shared" si="9"/>
        <v>3.32</v>
      </c>
      <c r="F73">
        <f t="shared" si="10"/>
        <v>157192.03552985506</v>
      </c>
      <c r="M73">
        <v>29</v>
      </c>
      <c r="N73">
        <f t="shared" si="11"/>
        <v>9.9009900990099011E-3</v>
      </c>
      <c r="R73">
        <f t="shared" si="12"/>
        <v>3.1225393336676129E-2</v>
      </c>
      <c r="S73">
        <f t="shared" si="13"/>
        <v>111.38351844320732</v>
      </c>
      <c r="T73">
        <f>SUM($S$2:S73)</f>
        <v>3326.6384520931088</v>
      </c>
      <c r="U73">
        <f t="shared" si="14"/>
        <v>3.6773784766510258</v>
      </c>
      <c r="W73">
        <f t="shared" si="15"/>
        <v>174112.83378266636</v>
      </c>
    </row>
    <row r="74" spans="1:23" x14ac:dyDescent="0.35">
      <c r="A74">
        <v>72</v>
      </c>
      <c r="B74">
        <v>18</v>
      </c>
      <c r="C74">
        <v>48232.670417312831</v>
      </c>
      <c r="D74">
        <f t="shared" si="8"/>
        <v>28</v>
      </c>
      <c r="E74">
        <f t="shared" si="9"/>
        <v>3.24</v>
      </c>
      <c r="F74">
        <f t="shared" si="10"/>
        <v>156273.85215209358</v>
      </c>
      <c r="M74">
        <v>28</v>
      </c>
      <c r="N74">
        <f t="shared" si="11"/>
        <v>9.9009900990099011E-3</v>
      </c>
      <c r="R74">
        <f t="shared" si="12"/>
        <v>2.8969155276148274E-2</v>
      </c>
      <c r="S74">
        <f t="shared" si="13"/>
        <v>104.05074474649177</v>
      </c>
      <c r="T74">
        <f>SUM($S$2:S74)</f>
        <v>3430.6891968396003</v>
      </c>
      <c r="U74">
        <f t="shared" si="14"/>
        <v>3.5108972850566396</v>
      </c>
      <c r="W74">
        <f t="shared" si="15"/>
        <v>169339.95161917532</v>
      </c>
    </row>
    <row r="75" spans="1:23" x14ac:dyDescent="0.35">
      <c r="A75">
        <v>73</v>
      </c>
      <c r="B75">
        <v>18</v>
      </c>
      <c r="C75">
        <v>49125.868017633453</v>
      </c>
      <c r="D75">
        <f t="shared" si="8"/>
        <v>27</v>
      </c>
      <c r="E75">
        <f t="shared" si="9"/>
        <v>3.16</v>
      </c>
      <c r="F75">
        <f t="shared" si="10"/>
        <v>155237.7429357217</v>
      </c>
      <c r="M75">
        <v>27</v>
      </c>
      <c r="N75">
        <f t="shared" si="11"/>
        <v>9.9009900990099011E-3</v>
      </c>
      <c r="R75">
        <f t="shared" si="12"/>
        <v>2.6608524989875482E-2</v>
      </c>
      <c r="S75">
        <f t="shared" si="13"/>
        <v>96.378696316105206</v>
      </c>
      <c r="T75">
        <f>SUM($S$2:S75)</f>
        <v>3527.0678931557054</v>
      </c>
      <c r="U75">
        <f t="shared" si="14"/>
        <v>3.3566913709508714</v>
      </c>
      <c r="W75">
        <f t="shared" si="15"/>
        <v>164900.3772652616</v>
      </c>
    </row>
    <row r="76" spans="1:23" x14ac:dyDescent="0.35">
      <c r="A76">
        <v>74</v>
      </c>
      <c r="B76">
        <v>18</v>
      </c>
      <c r="C76">
        <v>50019.065617954053</v>
      </c>
      <c r="D76">
        <f t="shared" si="8"/>
        <v>26</v>
      </c>
      <c r="E76">
        <f t="shared" si="9"/>
        <v>3.08</v>
      </c>
      <c r="F76">
        <f t="shared" si="10"/>
        <v>154058.7221032985</v>
      </c>
      <c r="M76">
        <v>26</v>
      </c>
      <c r="N76">
        <f t="shared" si="11"/>
        <v>9.9009900990099011E-3</v>
      </c>
      <c r="R76">
        <f t="shared" si="12"/>
        <v>2.4197072451914336E-2</v>
      </c>
      <c r="S76">
        <f t="shared" si="13"/>
        <v>88.541475567731482</v>
      </c>
      <c r="T76">
        <f>SUM($S$2:S76)</f>
        <v>3615.609368723437</v>
      </c>
      <c r="U76">
        <f t="shared" si="14"/>
        <v>3.2150250100425009</v>
      </c>
      <c r="W76">
        <f t="shared" si="15"/>
        <v>160812.54694067923</v>
      </c>
    </row>
    <row r="77" spans="1:23" x14ac:dyDescent="0.35">
      <c r="A77">
        <v>75</v>
      </c>
      <c r="B77">
        <v>18</v>
      </c>
      <c r="C77">
        <v>50912.26321827466</v>
      </c>
      <c r="D77">
        <f t="shared" si="8"/>
        <v>25</v>
      </c>
      <c r="E77">
        <f t="shared" si="9"/>
        <v>3</v>
      </c>
      <c r="F77">
        <f t="shared" si="10"/>
        <v>152736.78965482398</v>
      </c>
      <c r="M77">
        <v>25</v>
      </c>
      <c r="N77">
        <f t="shared" si="11"/>
        <v>9.9009900990099011E-3</v>
      </c>
      <c r="R77">
        <f t="shared" si="12"/>
        <v>2.1785217703255054E-2</v>
      </c>
      <c r="S77">
        <f t="shared" si="13"/>
        <v>80.70294763458881</v>
      </c>
      <c r="T77">
        <f>SUM($S$2:S77)</f>
        <v>3696.3123163580258</v>
      </c>
      <c r="U77">
        <f t="shared" si="14"/>
        <v>3.0859002938271587</v>
      </c>
      <c r="W77">
        <f t="shared" si="15"/>
        <v>157110.16802467941</v>
      </c>
    </row>
    <row r="78" spans="1:23" x14ac:dyDescent="0.35">
      <c r="A78">
        <v>76</v>
      </c>
      <c r="B78">
        <v>18</v>
      </c>
      <c r="C78">
        <v>51805.460818595267</v>
      </c>
      <c r="D78">
        <f t="shared" si="8"/>
        <v>24</v>
      </c>
      <c r="E78">
        <f t="shared" si="9"/>
        <v>2.92</v>
      </c>
      <c r="F78">
        <f t="shared" si="10"/>
        <v>151271.94559029819</v>
      </c>
      <c r="M78">
        <v>24</v>
      </c>
      <c r="N78">
        <f t="shared" si="11"/>
        <v>9.9009900990099011E-3</v>
      </c>
      <c r="R78">
        <f t="shared" si="12"/>
        <v>1.9418605498321296E-2</v>
      </c>
      <c r="S78">
        <f t="shared" si="13"/>
        <v>73.011457968554112</v>
      </c>
      <c r="T78">
        <f>SUM($S$2:S78)</f>
        <v>3769.32377432658</v>
      </c>
      <c r="U78">
        <f t="shared" si="14"/>
        <v>2.9690819610774719</v>
      </c>
      <c r="W78">
        <f t="shared" si="15"/>
        <v>153814.65920179698</v>
      </c>
    </row>
    <row r="79" spans="1:23" x14ac:dyDescent="0.35">
      <c r="A79">
        <v>77</v>
      </c>
      <c r="B79">
        <v>19</v>
      </c>
      <c r="C79">
        <v>52707.932485168298</v>
      </c>
      <c r="D79">
        <f t="shared" si="8"/>
        <v>23</v>
      </c>
      <c r="E79">
        <f t="shared" si="9"/>
        <v>2.84</v>
      </c>
      <c r="F79">
        <f t="shared" si="10"/>
        <v>149690.52825787794</v>
      </c>
      <c r="M79">
        <v>23</v>
      </c>
      <c r="N79">
        <f t="shared" si="11"/>
        <v>9.9009900990099011E-3</v>
      </c>
      <c r="R79">
        <f t="shared" si="12"/>
        <v>1.7136859204780735E-2</v>
      </c>
      <c r="S79">
        <f t="shared" si="13"/>
        <v>65.595782514547295</v>
      </c>
      <c r="T79">
        <f>SUM($S$2:S79)</f>
        <v>3834.9195568411274</v>
      </c>
      <c r="U79">
        <f t="shared" si="14"/>
        <v>2.8641287090541963</v>
      </c>
      <c r="W79">
        <f t="shared" si="15"/>
        <v>150962.30262566081</v>
      </c>
    </row>
    <row r="80" spans="1:23" x14ac:dyDescent="0.35">
      <c r="A80">
        <v>78</v>
      </c>
      <c r="B80">
        <v>19</v>
      </c>
      <c r="C80">
        <v>53616.689941809127</v>
      </c>
      <c r="D80">
        <f t="shared" si="8"/>
        <v>22</v>
      </c>
      <c r="E80">
        <f t="shared" si="9"/>
        <v>2.76</v>
      </c>
      <c r="F80">
        <f t="shared" si="10"/>
        <v>147982.06423939319</v>
      </c>
      <c r="M80">
        <v>22</v>
      </c>
      <c r="N80">
        <f t="shared" si="11"/>
        <v>9.9009900990099011E-3</v>
      </c>
      <c r="R80">
        <f t="shared" si="12"/>
        <v>1.4972746563574486E-2</v>
      </c>
      <c r="S80">
        <f t="shared" si="13"/>
        <v>58.562416430626982</v>
      </c>
      <c r="T80">
        <f>SUM($S$2:S80)</f>
        <v>3893.4819732717542</v>
      </c>
      <c r="U80">
        <f t="shared" si="14"/>
        <v>2.7704288427651935</v>
      </c>
      <c r="W80">
        <f t="shared" si="15"/>
        <v>148541.22426838646</v>
      </c>
    </row>
    <row r="81" spans="1:23" x14ac:dyDescent="0.35">
      <c r="A81">
        <v>79</v>
      </c>
      <c r="B81">
        <v>19</v>
      </c>
      <c r="C81">
        <v>54525.447398449956</v>
      </c>
      <c r="D81">
        <f t="shared" si="8"/>
        <v>21</v>
      </c>
      <c r="E81">
        <f t="shared" si="9"/>
        <v>2.6799999999999997</v>
      </c>
      <c r="F81">
        <f t="shared" si="10"/>
        <v>146128.19902784587</v>
      </c>
      <c r="M81">
        <v>21</v>
      </c>
      <c r="N81">
        <f t="shared" si="11"/>
        <v>9.9009900990099011E-3</v>
      </c>
      <c r="R81">
        <f t="shared" si="12"/>
        <v>1.2951759566589173E-2</v>
      </c>
      <c r="S81">
        <f t="shared" si="13"/>
        <v>51.994208690424713</v>
      </c>
      <c r="T81">
        <f>SUM($S$2:S81)</f>
        <v>3945.476181962179</v>
      </c>
      <c r="U81">
        <f t="shared" si="14"/>
        <v>2.6872381088605133</v>
      </c>
      <c r="W81">
        <f t="shared" si="15"/>
        <v>146522.86015178406</v>
      </c>
    </row>
    <row r="82" spans="1:23" x14ac:dyDescent="0.35">
      <c r="A82">
        <v>80</v>
      </c>
      <c r="B82">
        <v>19</v>
      </c>
      <c r="C82">
        <v>55434.204855090793</v>
      </c>
      <c r="D82">
        <f t="shared" si="8"/>
        <v>20</v>
      </c>
      <c r="E82">
        <f t="shared" si="9"/>
        <v>2.6</v>
      </c>
      <c r="F82">
        <f t="shared" si="10"/>
        <v>144128.93262323606</v>
      </c>
      <c r="M82">
        <v>20</v>
      </c>
      <c r="N82">
        <f t="shared" si="11"/>
        <v>9.9009900990099011E-3</v>
      </c>
      <c r="R82">
        <f t="shared" si="12"/>
        <v>1.1092083467945555E-2</v>
      </c>
      <c r="S82">
        <f t="shared" si="13"/>
        <v>45.950261369832958</v>
      </c>
      <c r="T82">
        <f>SUM($S$2:S82)</f>
        <v>3991.4264433320118</v>
      </c>
      <c r="U82">
        <f t="shared" si="14"/>
        <v>2.6137176906687811</v>
      </c>
      <c r="W82">
        <f t="shared" si="15"/>
        <v>144889.36189790803</v>
      </c>
    </row>
    <row r="83" spans="1:23" x14ac:dyDescent="0.35">
      <c r="A83">
        <v>81</v>
      </c>
      <c r="B83">
        <v>19</v>
      </c>
      <c r="C83">
        <v>56342.96231173163</v>
      </c>
      <c r="D83">
        <f t="shared" si="8"/>
        <v>19</v>
      </c>
      <c r="E83">
        <f t="shared" si="9"/>
        <v>2.52</v>
      </c>
      <c r="F83">
        <f t="shared" si="10"/>
        <v>141984.26502556371</v>
      </c>
      <c r="M83">
        <v>19</v>
      </c>
      <c r="N83">
        <f t="shared" si="11"/>
        <v>9.9009900990099011E-3</v>
      </c>
      <c r="R83">
        <f t="shared" si="12"/>
        <v>9.4049077376886937E-3</v>
      </c>
      <c r="S83">
        <f t="shared" si="13"/>
        <v>40.466940246498154</v>
      </c>
      <c r="T83">
        <f>SUM($S$2:S83)</f>
        <v>4031.8933835785101</v>
      </c>
      <c r="U83">
        <f t="shared" si="14"/>
        <v>2.5489705862743839</v>
      </c>
      <c r="W83">
        <f t="shared" si="15"/>
        <v>143616.55367617009</v>
      </c>
    </row>
    <row r="84" spans="1:23" x14ac:dyDescent="0.35">
      <c r="A84">
        <v>82</v>
      </c>
      <c r="B84">
        <v>20</v>
      </c>
      <c r="C84">
        <v>57260.595174070229</v>
      </c>
      <c r="D84">
        <f t="shared" si="8"/>
        <v>18</v>
      </c>
      <c r="E84">
        <f t="shared" si="9"/>
        <v>2.44</v>
      </c>
      <c r="F84">
        <f t="shared" si="10"/>
        <v>139715.85222473135</v>
      </c>
      <c r="M84">
        <v>18</v>
      </c>
      <c r="N84">
        <f t="shared" si="11"/>
        <v>9.9009900990099011E-3</v>
      </c>
      <c r="R84">
        <f t="shared" si="12"/>
        <v>7.8950158300894139E-3</v>
      </c>
      <c r="S84">
        <f t="shared" si="13"/>
        <v>35.559791546800497</v>
      </c>
      <c r="T84">
        <f>SUM($S$2:S84)</f>
        <v>4067.4531751253107</v>
      </c>
      <c r="U84">
        <f t="shared" si="14"/>
        <v>2.4920749197995029</v>
      </c>
      <c r="W84">
        <f t="shared" si="15"/>
        <v>142697.69312609287</v>
      </c>
    </row>
    <row r="85" spans="1:23" x14ac:dyDescent="0.35">
      <c r="A85">
        <v>83</v>
      </c>
      <c r="B85">
        <v>20</v>
      </c>
      <c r="C85">
        <v>58184.15316074877</v>
      </c>
      <c r="D85">
        <f t="shared" si="8"/>
        <v>17</v>
      </c>
      <c r="E85">
        <f t="shared" si="9"/>
        <v>2.3600000000000003</v>
      </c>
      <c r="F85">
        <f t="shared" si="10"/>
        <v>137314.60145936711</v>
      </c>
      <c r="M85">
        <v>17</v>
      </c>
      <c r="N85">
        <f t="shared" si="11"/>
        <v>9.9009900990099011E-3</v>
      </c>
      <c r="R85">
        <f t="shared" si="12"/>
        <v>6.5615814774676604E-3</v>
      </c>
      <c r="S85">
        <f t="shared" si="13"/>
        <v>31.226129900779799</v>
      </c>
      <c r="T85">
        <f>SUM($S$2:S85)</f>
        <v>4098.6793050260903</v>
      </c>
      <c r="U85">
        <f t="shared" si="14"/>
        <v>2.4421131119582555</v>
      </c>
      <c r="W85">
        <f t="shared" si="15"/>
        <v>142092.28334205196</v>
      </c>
    </row>
    <row r="86" spans="1:23" x14ac:dyDescent="0.35">
      <c r="A86">
        <v>84</v>
      </c>
      <c r="B86">
        <v>20</v>
      </c>
      <c r="C86">
        <v>59107.711147427333</v>
      </c>
      <c r="D86">
        <f t="shared" si="8"/>
        <v>16</v>
      </c>
      <c r="E86">
        <f t="shared" si="9"/>
        <v>2.2800000000000002</v>
      </c>
      <c r="F86">
        <f t="shared" si="10"/>
        <v>134765.58141613434</v>
      </c>
      <c r="M86">
        <v>16</v>
      </c>
      <c r="N86">
        <f t="shared" si="11"/>
        <v>9.9009900990099011E-3</v>
      </c>
      <c r="R86">
        <f t="shared" si="12"/>
        <v>5.3990966513188061E-3</v>
      </c>
      <c r="S86">
        <f t="shared" si="13"/>
        <v>27.448054215796024</v>
      </c>
      <c r="T86">
        <f>SUM($S$2:S86)</f>
        <v>4126.1273592418866</v>
      </c>
      <c r="U86">
        <f t="shared" si="14"/>
        <v>2.3981962252129816</v>
      </c>
      <c r="W86">
        <f t="shared" si="15"/>
        <v>141751.8897547395</v>
      </c>
    </row>
    <row r="87" spans="1:23" x14ac:dyDescent="0.35">
      <c r="A87">
        <v>85</v>
      </c>
      <c r="B87">
        <v>20</v>
      </c>
      <c r="C87">
        <v>60031.269134105882</v>
      </c>
      <c r="D87">
        <f t="shared" si="8"/>
        <v>15</v>
      </c>
      <c r="E87">
        <f t="shared" si="9"/>
        <v>2.2000000000000002</v>
      </c>
      <c r="F87">
        <f t="shared" si="10"/>
        <v>132068.79209503296</v>
      </c>
      <c r="M87">
        <v>15</v>
      </c>
      <c r="N87">
        <f t="shared" si="11"/>
        <v>9.9009900990099011E-3</v>
      </c>
      <c r="R87">
        <f t="shared" si="12"/>
        <v>4.3983595980427196E-3</v>
      </c>
      <c r="S87">
        <f t="shared" si="13"/>
        <v>24.195658792648739</v>
      </c>
      <c r="T87">
        <f>SUM($S$2:S87)</f>
        <v>4150.3230180345354</v>
      </c>
      <c r="U87">
        <f t="shared" si="14"/>
        <v>2.3594831711447437</v>
      </c>
      <c r="W87">
        <f t="shared" si="15"/>
        <v>141642.76926438371</v>
      </c>
    </row>
    <row r="88" spans="1:23" x14ac:dyDescent="0.35">
      <c r="A88">
        <v>86</v>
      </c>
      <c r="B88">
        <v>20</v>
      </c>
      <c r="C88">
        <v>60954.82712078443</v>
      </c>
      <c r="D88">
        <f t="shared" si="8"/>
        <v>14</v>
      </c>
      <c r="E88">
        <f t="shared" si="9"/>
        <v>2.12</v>
      </c>
      <c r="F88">
        <f t="shared" si="10"/>
        <v>129224.233496063</v>
      </c>
      <c r="M88">
        <v>14</v>
      </c>
      <c r="N88">
        <f t="shared" si="11"/>
        <v>9.9009900990099011E-3</v>
      </c>
      <c r="R88">
        <f t="shared" si="12"/>
        <v>3.5474592846231421E-3</v>
      </c>
      <c r="S88">
        <f t="shared" si="13"/>
        <v>21.430232774035115</v>
      </c>
      <c r="T88">
        <f>SUM($S$2:S88)</f>
        <v>4171.7532508085706</v>
      </c>
      <c r="U88">
        <f t="shared" si="14"/>
        <v>2.3251947987062871</v>
      </c>
      <c r="W88">
        <f t="shared" si="15"/>
        <v>141731.84697728889</v>
      </c>
    </row>
    <row r="89" spans="1:23" x14ac:dyDescent="0.35">
      <c r="A89">
        <v>87</v>
      </c>
      <c r="B89">
        <v>21</v>
      </c>
      <c r="C89">
        <v>61886.211128846291</v>
      </c>
      <c r="D89">
        <f t="shared" si="8"/>
        <v>13</v>
      </c>
      <c r="E89">
        <f t="shared" si="9"/>
        <v>2.04</v>
      </c>
      <c r="F89">
        <f t="shared" si="10"/>
        <v>126247.87070284644</v>
      </c>
      <c r="M89">
        <v>13</v>
      </c>
      <c r="N89">
        <f t="shared" si="11"/>
        <v>9.9009900990099011E-3</v>
      </c>
      <c r="R89">
        <f t="shared" si="12"/>
        <v>2.8327037741601186E-3</v>
      </c>
      <c r="S89">
        <f t="shared" si="13"/>
        <v>19.107277365030289</v>
      </c>
      <c r="T89">
        <f>SUM($S$2:S89)</f>
        <v>4190.8605281736009</v>
      </c>
      <c r="U89">
        <f t="shared" si="14"/>
        <v>2.2946231549222387</v>
      </c>
      <c r="W89">
        <f t="shared" si="15"/>
        <v>142005.53302665704</v>
      </c>
    </row>
    <row r="90" spans="1:23" x14ac:dyDescent="0.35">
      <c r="A90">
        <v>88</v>
      </c>
      <c r="B90">
        <v>21</v>
      </c>
      <c r="C90">
        <v>62823.880994434883</v>
      </c>
      <c r="D90">
        <f t="shared" si="8"/>
        <v>12</v>
      </c>
      <c r="E90">
        <f t="shared" si="9"/>
        <v>1.96</v>
      </c>
      <c r="F90">
        <f t="shared" si="10"/>
        <v>123134.80674909237</v>
      </c>
      <c r="M90">
        <v>12</v>
      </c>
      <c r="N90">
        <f t="shared" si="11"/>
        <v>9.9009900990099011E-3</v>
      </c>
      <c r="R90">
        <f t="shared" si="12"/>
        <v>2.2394530294842902E-3</v>
      </c>
      <c r="S90">
        <f t="shared" si="13"/>
        <v>17.179212444833844</v>
      </c>
      <c r="T90">
        <f>SUM($S$2:S90)</f>
        <v>4208.0397406184347</v>
      </c>
      <c r="U90">
        <f t="shared" si="14"/>
        <v>2.2671364150105044</v>
      </c>
      <c r="W90">
        <f t="shared" si="15"/>
        <v>142430.30833476965</v>
      </c>
    </row>
    <row r="91" spans="1:23" x14ac:dyDescent="0.35">
      <c r="A91">
        <v>89</v>
      </c>
      <c r="B91">
        <v>21</v>
      </c>
      <c r="C91">
        <v>63761.550860023468</v>
      </c>
      <c r="D91">
        <f t="shared" si="8"/>
        <v>11</v>
      </c>
      <c r="E91">
        <f t="shared" si="9"/>
        <v>1.88</v>
      </c>
      <c r="F91">
        <f t="shared" si="10"/>
        <v>119871.71561684411</v>
      </c>
      <c r="M91">
        <v>11</v>
      </c>
      <c r="N91">
        <f t="shared" si="11"/>
        <v>9.9009900990099011E-3</v>
      </c>
      <c r="R91">
        <f t="shared" si="12"/>
        <v>1.752830049356854E-3</v>
      </c>
      <c r="S91">
        <f t="shared" si="13"/>
        <v>15.597687759419678</v>
      </c>
      <c r="T91">
        <f>SUM($S$2:S91)</f>
        <v>4223.6374283778541</v>
      </c>
      <c r="U91">
        <f t="shared" si="14"/>
        <v>2.2421801145954334</v>
      </c>
      <c r="W91">
        <f t="shared" si="15"/>
        <v>142964.88141410999</v>
      </c>
    </row>
    <row r="92" spans="1:23" x14ac:dyDescent="0.35">
      <c r="A92">
        <v>90</v>
      </c>
      <c r="B92">
        <v>21</v>
      </c>
      <c r="C92">
        <v>64699.220725612031</v>
      </c>
      <c r="D92">
        <f t="shared" si="8"/>
        <v>10</v>
      </c>
      <c r="E92">
        <f t="shared" si="9"/>
        <v>1.8</v>
      </c>
      <c r="F92">
        <f t="shared" si="10"/>
        <v>116458.59730610166</v>
      </c>
      <c r="M92">
        <v>10</v>
      </c>
      <c r="N92">
        <f t="shared" si="11"/>
        <v>9.9009900990099011E-3</v>
      </c>
      <c r="R92">
        <f t="shared" si="12"/>
        <v>1.3582969233685612E-3</v>
      </c>
      <c r="S92">
        <f t="shared" si="13"/>
        <v>14.315455099957726</v>
      </c>
      <c r="T92">
        <f>SUM($S$2:S92)</f>
        <v>4237.9528834778121</v>
      </c>
      <c r="U92">
        <f t="shared" si="14"/>
        <v>2.2192753864355006</v>
      </c>
      <c r="W92">
        <f t="shared" si="15"/>
        <v>143585.3880779084</v>
      </c>
    </row>
    <row r="93" spans="1:23" x14ac:dyDescent="0.35">
      <c r="A93">
        <v>91</v>
      </c>
      <c r="B93">
        <v>21</v>
      </c>
      <c r="C93">
        <v>65636.890591200616</v>
      </c>
      <c r="D93">
        <f t="shared" si="8"/>
        <v>9</v>
      </c>
      <c r="E93">
        <f t="shared" si="9"/>
        <v>1.72</v>
      </c>
      <c r="F93">
        <f t="shared" si="10"/>
        <v>112895.45181686505</v>
      </c>
      <c r="M93">
        <v>9</v>
      </c>
      <c r="N93">
        <f t="shared" si="11"/>
        <v>9.9009900990099011E-3</v>
      </c>
      <c r="R93">
        <f t="shared" si="12"/>
        <v>1.0420934814422591E-3</v>
      </c>
      <c r="S93">
        <f t="shared" si="13"/>
        <v>13.287793913697243</v>
      </c>
      <c r="T93">
        <f>SUM($S$2:S93)</f>
        <v>4251.2406773915091</v>
      </c>
      <c r="U93">
        <f t="shared" si="14"/>
        <v>2.1980149161735856</v>
      </c>
      <c r="W93">
        <f t="shared" si="15"/>
        <v>144270.86457071264</v>
      </c>
    </row>
    <row r="94" spans="1:23" x14ac:dyDescent="0.35">
      <c r="A94">
        <v>92</v>
      </c>
      <c r="B94">
        <v>22</v>
      </c>
      <c r="C94">
        <v>66580.803695104405</v>
      </c>
      <c r="D94">
        <f t="shared" si="8"/>
        <v>8</v>
      </c>
      <c r="E94">
        <f t="shared" si="9"/>
        <v>1.6400000000000001</v>
      </c>
      <c r="F94">
        <f t="shared" si="10"/>
        <v>109192.51805997123</v>
      </c>
      <c r="M94">
        <v>8</v>
      </c>
      <c r="N94">
        <f t="shared" si="11"/>
        <v>9.9009900990099011E-3</v>
      </c>
      <c r="R94">
        <f t="shared" si="12"/>
        <v>7.9154515829799694E-4</v>
      </c>
      <c r="S94">
        <f t="shared" si="13"/>
        <v>12.473511863478391</v>
      </c>
      <c r="T94">
        <f>SUM($S$2:S94)</f>
        <v>4263.7141892549871</v>
      </c>
      <c r="U94">
        <f t="shared" si="14"/>
        <v>2.1780572971920207</v>
      </c>
      <c r="W94">
        <f t="shared" si="15"/>
        <v>145016.80534103161</v>
      </c>
    </row>
    <row r="95" spans="1:23" x14ac:dyDescent="0.35">
      <c r="A95">
        <v>93</v>
      </c>
      <c r="B95">
        <v>22</v>
      </c>
      <c r="C95">
        <v>67531.958033605901</v>
      </c>
      <c r="D95">
        <f t="shared" si="8"/>
        <v>7</v>
      </c>
      <c r="E95">
        <f t="shared" si="9"/>
        <v>1.56</v>
      </c>
      <c r="F95">
        <f t="shared" si="10"/>
        <v>105349.8545324252</v>
      </c>
      <c r="M95">
        <v>7</v>
      </c>
      <c r="N95">
        <f t="shared" si="11"/>
        <v>9.9009900990099011E-3</v>
      </c>
      <c r="R95">
        <f t="shared" si="12"/>
        <v>5.9525324197758534E-4</v>
      </c>
      <c r="S95">
        <f t="shared" si="13"/>
        <v>11.835563135437054</v>
      </c>
      <c r="T95">
        <f>SUM($S$2:S95)</f>
        <v>4275.5497523904241</v>
      </c>
      <c r="U95">
        <f t="shared" si="14"/>
        <v>2.1591203961753216</v>
      </c>
      <c r="W95">
        <f t="shared" si="15"/>
        <v>145809.62798401437</v>
      </c>
    </row>
    <row r="96" spans="1:23" x14ac:dyDescent="0.35">
      <c r="A96">
        <v>94</v>
      </c>
      <c r="B96">
        <v>22</v>
      </c>
      <c r="C96">
        <v>68483.112372107396</v>
      </c>
      <c r="D96">
        <f t="shared" si="8"/>
        <v>6</v>
      </c>
      <c r="E96">
        <f t="shared" si="9"/>
        <v>1.48</v>
      </c>
      <c r="F96">
        <f t="shared" si="10"/>
        <v>101355.00631071895</v>
      </c>
      <c r="M96">
        <v>6</v>
      </c>
      <c r="N96">
        <f t="shared" si="11"/>
        <v>9.9009900990099011E-3</v>
      </c>
      <c r="Q96">
        <v>0.3</v>
      </c>
      <c r="R96">
        <f t="shared" si="12"/>
        <v>4.4318484119380076E-4</v>
      </c>
      <c r="S96">
        <f t="shared" si="13"/>
        <v>86.34134083288977</v>
      </c>
      <c r="T96">
        <f>SUM($S$2:S96)</f>
        <v>4361.8910932233139</v>
      </c>
      <c r="U96">
        <f t="shared" si="14"/>
        <v>2.0209742508426976</v>
      </c>
      <c r="W96">
        <f t="shared" si="15"/>
        <v>138402.60672159601</v>
      </c>
    </row>
    <row r="97" spans="1:23" x14ac:dyDescent="0.35">
      <c r="A97">
        <v>95</v>
      </c>
      <c r="B97">
        <v>22</v>
      </c>
      <c r="C97">
        <v>69434.266710608877</v>
      </c>
      <c r="D97">
        <f t="shared" si="8"/>
        <v>5</v>
      </c>
      <c r="E97">
        <f t="shared" si="9"/>
        <v>1.4</v>
      </c>
      <c r="F97">
        <f t="shared" si="10"/>
        <v>97207.973394852423</v>
      </c>
      <c r="M97">
        <v>5</v>
      </c>
      <c r="N97">
        <f t="shared" si="11"/>
        <v>9.9009900990099011E-3</v>
      </c>
      <c r="Q97">
        <v>0.4</v>
      </c>
      <c r="R97">
        <f t="shared" si="12"/>
        <v>3.2668190561999186E-4</v>
      </c>
      <c r="S97">
        <f t="shared" si="13"/>
        <v>110.9627062922749</v>
      </c>
      <c r="T97">
        <f>SUM($S$2:S97)</f>
        <v>4472.8537995155884</v>
      </c>
      <c r="U97">
        <f t="shared" si="14"/>
        <v>1.8434339207750585</v>
      </c>
      <c r="W97">
        <f t="shared" si="15"/>
        <v>127997.48251847885</v>
      </c>
    </row>
    <row r="98" spans="1:23" x14ac:dyDescent="0.35">
      <c r="A98">
        <v>96</v>
      </c>
      <c r="B98">
        <v>22</v>
      </c>
      <c r="C98">
        <v>70385.421049110373</v>
      </c>
      <c r="D98">
        <f t="shared" si="8"/>
        <v>4</v>
      </c>
      <c r="E98">
        <f t="shared" si="9"/>
        <v>1.32</v>
      </c>
      <c r="F98">
        <f t="shared" si="10"/>
        <v>92908.755784825698</v>
      </c>
      <c r="M98">
        <v>4</v>
      </c>
      <c r="N98">
        <f t="shared" si="11"/>
        <v>9.9009900990099011E-3</v>
      </c>
      <c r="Q98">
        <v>0.3</v>
      </c>
      <c r="R98">
        <f t="shared" si="12"/>
        <v>2.3840882014648405E-4</v>
      </c>
      <c r="S98">
        <f t="shared" si="13"/>
        <v>85.675818764485967</v>
      </c>
      <c r="T98">
        <f>SUM($S$2:S98)</f>
        <v>4558.5296182800748</v>
      </c>
      <c r="U98">
        <f t="shared" si="14"/>
        <v>1.7063526107518803</v>
      </c>
      <c r="W98">
        <f t="shared" si="15"/>
        <v>120102.34696601983</v>
      </c>
    </row>
    <row r="99" spans="1:23" x14ac:dyDescent="0.35">
      <c r="A99">
        <v>97</v>
      </c>
      <c r="B99">
        <v>23</v>
      </c>
      <c r="C99">
        <v>71340.797195344814</v>
      </c>
      <c r="D99">
        <f t="shared" si="8"/>
        <v>3</v>
      </c>
      <c r="E99">
        <f t="shared" si="9"/>
        <v>1.24</v>
      </c>
      <c r="F99">
        <f t="shared" si="10"/>
        <v>88462.588522227568</v>
      </c>
      <c r="M99">
        <v>3</v>
      </c>
      <c r="N99">
        <f t="shared" si="11"/>
        <v>9.9009900990099011E-3</v>
      </c>
      <c r="R99">
        <f t="shared" si="12"/>
        <v>1.722568939053681E-4</v>
      </c>
      <c r="S99">
        <f t="shared" si="13"/>
        <v>10.460825004202349</v>
      </c>
      <c r="T99">
        <f>SUM($S$2:S99)</f>
        <v>4568.9904432842768</v>
      </c>
      <c r="U99">
        <f t="shared" si="14"/>
        <v>1.6896152907451572</v>
      </c>
      <c r="W99">
        <f t="shared" si="15"/>
        <v>120538.50179520382</v>
      </c>
    </row>
    <row r="100" spans="1:23" x14ac:dyDescent="0.35">
      <c r="A100">
        <v>98</v>
      </c>
      <c r="B100">
        <v>23</v>
      </c>
      <c r="C100">
        <v>72304.862022308938</v>
      </c>
      <c r="D100">
        <f t="shared" si="8"/>
        <v>2</v>
      </c>
      <c r="E100">
        <f t="shared" si="9"/>
        <v>1.1599999999999999</v>
      </c>
      <c r="F100">
        <f t="shared" si="10"/>
        <v>83873.639945878356</v>
      </c>
      <c r="M100">
        <v>2</v>
      </c>
      <c r="N100">
        <f t="shared" si="11"/>
        <v>9.9009900990099011E-3</v>
      </c>
      <c r="R100">
        <f t="shared" si="12"/>
        <v>1.2322191684730198E-4</v>
      </c>
      <c r="S100">
        <f t="shared" si="13"/>
        <v>10.301461328763633</v>
      </c>
      <c r="T100">
        <f>SUM($S$2:S100)</f>
        <v>4579.2919046130401</v>
      </c>
      <c r="U100">
        <f t="shared" si="14"/>
        <v>1.6731329526191359</v>
      </c>
      <c r="W100">
        <f t="shared" si="15"/>
        <v>120975.64728410498</v>
      </c>
    </row>
    <row r="101" spans="1:23" x14ac:dyDescent="0.35">
      <c r="A101">
        <v>99</v>
      </c>
      <c r="B101">
        <v>23</v>
      </c>
      <c r="C101">
        <v>73268.926849273048</v>
      </c>
      <c r="D101">
        <f t="shared" si="8"/>
        <v>1</v>
      </c>
      <c r="E101">
        <f t="shared" si="9"/>
        <v>1.08</v>
      </c>
      <c r="F101">
        <f t="shared" si="10"/>
        <v>79130.440997214901</v>
      </c>
      <c r="M101">
        <v>1</v>
      </c>
      <c r="N101">
        <f t="shared" si="11"/>
        <v>9.9009900990099011E-3</v>
      </c>
      <c r="P101">
        <f>1/2</f>
        <v>0.5</v>
      </c>
      <c r="R101">
        <f t="shared" si="12"/>
        <v>8.726826950457601E-5</v>
      </c>
      <c r="S101">
        <f>($J$3*N101+$J$4*O101+$J$5*P101+$J$6*Q101+$J$7*R101)*5000</f>
        <v>210.18461197489978</v>
      </c>
      <c r="T101">
        <f>SUM($S$2:S101)</f>
        <v>4789.4765165879398</v>
      </c>
      <c r="U101">
        <f t="shared" si="14"/>
        <v>1.3368375734592963</v>
      </c>
      <c r="W101">
        <f t="shared" si="15"/>
        <v>97948.654379148866</v>
      </c>
    </row>
    <row r="102" spans="1:23" x14ac:dyDescent="0.35">
      <c r="A102">
        <v>100</v>
      </c>
      <c r="B102">
        <v>23</v>
      </c>
      <c r="C102">
        <v>74232.991676237172</v>
      </c>
      <c r="D102">
        <f t="shared" si="8"/>
        <v>0</v>
      </c>
      <c r="E102">
        <f t="shared" si="9"/>
        <v>1</v>
      </c>
      <c r="F102">
        <f t="shared" si="10"/>
        <v>74232.991676237172</v>
      </c>
      <c r="M102">
        <v>0</v>
      </c>
      <c r="N102">
        <f t="shared" si="11"/>
        <v>9.9009900990099011E-3</v>
      </c>
      <c r="P102">
        <f>1/2</f>
        <v>0.5</v>
      </c>
      <c r="R102">
        <f t="shared" si="12"/>
        <v>6.1190193011377187E-5</v>
      </c>
      <c r="S102">
        <f>($J$3*N102+$J$4*O102+$J$5*P102+$J$6*Q102+$J$7*R102)*5000</f>
        <v>210.09985822629687</v>
      </c>
      <c r="T102">
        <f>SUM($S$2:S102)</f>
        <v>4999.5763748142363</v>
      </c>
      <c r="U102">
        <f t="shared" si="14"/>
        <v>1.0006778002972221</v>
      </c>
      <c r="W102">
        <f t="shared" si="15"/>
        <v>74283.306820059006</v>
      </c>
    </row>
    <row r="103" spans="1:23" x14ac:dyDescent="0.35">
      <c r="E103" t="s">
        <v>6</v>
      </c>
      <c r="F103">
        <f>MAX(F1:F102)</f>
        <v>160065.31395662154</v>
      </c>
    </row>
    <row r="104" spans="1:23" x14ac:dyDescent="0.35">
      <c r="E104" t="s">
        <v>7</v>
      </c>
      <c r="F104">
        <f>MATCH(F103,F2:F102,0)-1</f>
        <v>64</v>
      </c>
      <c r="V104" t="s">
        <v>22</v>
      </c>
      <c r="W104">
        <f>MAX(W2:W102)</f>
        <v>233259.36872387634</v>
      </c>
    </row>
    <row r="105" spans="1:23" x14ac:dyDescent="0.35">
      <c r="V105" t="s">
        <v>23</v>
      </c>
      <c r="W105">
        <f>MATCH(W104,W2:W102,0)</f>
        <v>56</v>
      </c>
    </row>
    <row r="106" spans="1:23" x14ac:dyDescent="0.35">
      <c r="N106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Tan</cp:lastModifiedBy>
  <dcterms:created xsi:type="dcterms:W3CDTF">2026-04-19T08:21:24Z</dcterms:created>
  <dcterms:modified xsi:type="dcterms:W3CDTF">2026-04-19T12:23:22Z</dcterms:modified>
</cp:coreProperties>
</file>