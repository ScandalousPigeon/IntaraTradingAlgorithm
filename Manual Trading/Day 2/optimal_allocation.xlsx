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Manual Trading/Day 2/"/>
    </mc:Choice>
  </mc:AlternateContent>
  <xr:revisionPtr revIDLastSave="86" documentId="11_3C91D1A4D360D04F55E2DCF0505ED87656CD3EF8" xr6:coauthVersionLast="47" xr6:coauthVersionMax="47" xr10:uidLastSave="{0CAD003B-9C92-4598-A270-820A1D908EF8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5" i="1" s="1"/>
  <c r="T3" i="1"/>
  <c r="S4" i="1"/>
  <c r="T4" i="1"/>
  <c r="S5" i="1"/>
  <c r="T9" i="1" s="1"/>
  <c r="S6" i="1"/>
  <c r="T6" i="1"/>
  <c r="S7" i="1"/>
  <c r="T24" i="1" s="1"/>
  <c r="T7" i="1"/>
  <c r="S8" i="1"/>
  <c r="T19" i="1" s="1"/>
  <c r="T8" i="1"/>
  <c r="S9" i="1"/>
  <c r="S10" i="1"/>
  <c r="S11" i="1"/>
  <c r="S12" i="1"/>
  <c r="S13" i="1"/>
  <c r="S14" i="1"/>
  <c r="T14" i="1"/>
  <c r="S15" i="1"/>
  <c r="S16" i="1"/>
  <c r="S17" i="1"/>
  <c r="S18" i="1"/>
  <c r="S19" i="1"/>
  <c r="S20" i="1"/>
  <c r="T20" i="1"/>
  <c r="S21" i="1"/>
  <c r="S22" i="1"/>
  <c r="S23" i="1"/>
  <c r="S24" i="1"/>
  <c r="S25" i="1"/>
  <c r="S26" i="1"/>
  <c r="T26" i="1"/>
  <c r="S27" i="1"/>
  <c r="S28" i="1"/>
  <c r="S29" i="1"/>
  <c r="S30" i="1"/>
  <c r="S31" i="1"/>
  <c r="S32" i="1"/>
  <c r="T32" i="1"/>
  <c r="S33" i="1"/>
  <c r="S34" i="1"/>
  <c r="S35" i="1"/>
  <c r="S36" i="1"/>
  <c r="S37" i="1"/>
  <c r="S38" i="1"/>
  <c r="T38" i="1"/>
  <c r="S39" i="1"/>
  <c r="S40" i="1"/>
  <c r="S41" i="1"/>
  <c r="S42" i="1"/>
  <c r="S43" i="1"/>
  <c r="S44" i="1"/>
  <c r="T44" i="1"/>
  <c r="S45" i="1"/>
  <c r="S46" i="1"/>
  <c r="S47" i="1"/>
  <c r="S48" i="1"/>
  <c r="S49" i="1"/>
  <c r="S50" i="1"/>
  <c r="T50" i="1"/>
  <c r="S51" i="1"/>
  <c r="S52" i="1"/>
  <c r="S53" i="1"/>
  <c r="S54" i="1"/>
  <c r="S55" i="1"/>
  <c r="S56" i="1"/>
  <c r="T56" i="1"/>
  <c r="S57" i="1"/>
  <c r="S58" i="1"/>
  <c r="S59" i="1"/>
  <c r="S60" i="1"/>
  <c r="S61" i="1"/>
  <c r="S62" i="1"/>
  <c r="T62" i="1"/>
  <c r="S63" i="1"/>
  <c r="S64" i="1"/>
  <c r="S65" i="1"/>
  <c r="S66" i="1"/>
  <c r="S67" i="1"/>
  <c r="S68" i="1"/>
  <c r="T68" i="1"/>
  <c r="S69" i="1"/>
  <c r="S70" i="1"/>
  <c r="S71" i="1"/>
  <c r="S72" i="1"/>
  <c r="S73" i="1"/>
  <c r="S74" i="1"/>
  <c r="T74" i="1"/>
  <c r="S75" i="1"/>
  <c r="S76" i="1"/>
  <c r="S77" i="1"/>
  <c r="S78" i="1"/>
  <c r="S79" i="1"/>
  <c r="S80" i="1"/>
  <c r="T80" i="1"/>
  <c r="S81" i="1"/>
  <c r="S82" i="1"/>
  <c r="S83" i="1"/>
  <c r="S84" i="1"/>
  <c r="S85" i="1"/>
  <c r="S86" i="1"/>
  <c r="T86" i="1"/>
  <c r="S87" i="1"/>
  <c r="S88" i="1"/>
  <c r="S89" i="1"/>
  <c r="S90" i="1"/>
  <c r="S91" i="1"/>
  <c r="S92" i="1"/>
  <c r="T92" i="1"/>
  <c r="S93" i="1"/>
  <c r="S94" i="1"/>
  <c r="S95" i="1"/>
  <c r="S96" i="1"/>
  <c r="S97" i="1"/>
  <c r="S98" i="1"/>
  <c r="T98" i="1"/>
  <c r="S99" i="1"/>
  <c r="S100" i="1"/>
  <c r="S101" i="1"/>
  <c r="S102" i="1"/>
  <c r="S103" i="1"/>
  <c r="S104" i="1"/>
  <c r="T104" i="1"/>
  <c r="S105" i="1"/>
  <c r="T2" i="1"/>
  <c r="S2" i="1"/>
  <c r="P104" i="1"/>
  <c r="P10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2" i="1"/>
  <c r="O2" i="1"/>
  <c r="F104" i="1"/>
  <c r="F103" i="1"/>
  <c r="F66" i="1"/>
  <c r="E3" i="1"/>
  <c r="E4" i="1"/>
  <c r="E5" i="1"/>
  <c r="E6" i="1"/>
  <c r="E7" i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E16" i="1"/>
  <c r="E17" i="1"/>
  <c r="E18" i="1"/>
  <c r="E19" i="1"/>
  <c r="E20" i="1"/>
  <c r="E21" i="1"/>
  <c r="E22" i="1"/>
  <c r="F22" i="1" s="1"/>
  <c r="E23" i="1"/>
  <c r="F23" i="1" s="1"/>
  <c r="E24" i="1"/>
  <c r="F24" i="1" s="1"/>
  <c r="E25" i="1"/>
  <c r="F25" i="1" s="1"/>
  <c r="E26" i="1"/>
  <c r="F26" i="1" s="1"/>
  <c r="E27" i="1"/>
  <c r="E28" i="1"/>
  <c r="E29" i="1"/>
  <c r="E30" i="1"/>
  <c r="E31" i="1"/>
  <c r="E32" i="1"/>
  <c r="E33" i="1"/>
  <c r="E34" i="1"/>
  <c r="F34" i="1" s="1"/>
  <c r="E35" i="1"/>
  <c r="F35" i="1" s="1"/>
  <c r="E36" i="1"/>
  <c r="F36" i="1" s="1"/>
  <c r="E37" i="1"/>
  <c r="F37" i="1" s="1"/>
  <c r="E38" i="1"/>
  <c r="F38" i="1" s="1"/>
  <c r="E39" i="1"/>
  <c r="E40" i="1"/>
  <c r="E41" i="1"/>
  <c r="E42" i="1"/>
  <c r="E43" i="1"/>
  <c r="E44" i="1"/>
  <c r="E45" i="1"/>
  <c r="E46" i="1"/>
  <c r="F46" i="1" s="1"/>
  <c r="E47" i="1"/>
  <c r="F47" i="1" s="1"/>
  <c r="E48" i="1"/>
  <c r="F48" i="1" s="1"/>
  <c r="E49" i="1"/>
  <c r="F49" i="1" s="1"/>
  <c r="E50" i="1"/>
  <c r="F50" i="1" s="1"/>
  <c r="E51" i="1"/>
  <c r="E52" i="1"/>
  <c r="E53" i="1"/>
  <c r="E54" i="1"/>
  <c r="E55" i="1"/>
  <c r="E56" i="1"/>
  <c r="E57" i="1"/>
  <c r="E58" i="1"/>
  <c r="F58" i="1" s="1"/>
  <c r="E59" i="1"/>
  <c r="F59" i="1" s="1"/>
  <c r="E60" i="1"/>
  <c r="F60" i="1" s="1"/>
  <c r="E61" i="1"/>
  <c r="F61" i="1" s="1"/>
  <c r="E62" i="1"/>
  <c r="F62" i="1" s="1"/>
  <c r="E63" i="1"/>
  <c r="E64" i="1"/>
  <c r="E65" i="1"/>
  <c r="E66" i="1"/>
  <c r="E67" i="1"/>
  <c r="E68" i="1"/>
  <c r="E69" i="1"/>
  <c r="E70" i="1"/>
  <c r="F70" i="1" s="1"/>
  <c r="E71" i="1"/>
  <c r="F71" i="1" s="1"/>
  <c r="E72" i="1"/>
  <c r="F72" i="1" s="1"/>
  <c r="E73" i="1"/>
  <c r="F73" i="1" s="1"/>
  <c r="E74" i="1"/>
  <c r="F74" i="1" s="1"/>
  <c r="E75" i="1"/>
  <c r="E76" i="1"/>
  <c r="E77" i="1"/>
  <c r="E78" i="1"/>
  <c r="E79" i="1"/>
  <c r="E80" i="1"/>
  <c r="E81" i="1"/>
  <c r="E82" i="1"/>
  <c r="F82" i="1" s="1"/>
  <c r="E83" i="1"/>
  <c r="F83" i="1" s="1"/>
  <c r="E84" i="1"/>
  <c r="F84" i="1" s="1"/>
  <c r="E85" i="1"/>
  <c r="F85" i="1" s="1"/>
  <c r="E86" i="1"/>
  <c r="F86" i="1" s="1"/>
  <c r="E87" i="1"/>
  <c r="E88" i="1"/>
  <c r="E89" i="1"/>
  <c r="E90" i="1"/>
  <c r="E91" i="1"/>
  <c r="E92" i="1"/>
  <c r="E93" i="1"/>
  <c r="E94" i="1"/>
  <c r="F94" i="1" s="1"/>
  <c r="E95" i="1"/>
  <c r="F95" i="1" s="1"/>
  <c r="E96" i="1"/>
  <c r="F96" i="1" s="1"/>
  <c r="E97" i="1"/>
  <c r="F97" i="1" s="1"/>
  <c r="E98" i="1"/>
  <c r="F98" i="1" s="1"/>
  <c r="E99" i="1"/>
  <c r="E100" i="1"/>
  <c r="E101" i="1"/>
  <c r="E102" i="1"/>
  <c r="E2" i="1"/>
  <c r="F2" i="1" s="1"/>
  <c r="F3" i="1"/>
  <c r="F4" i="1"/>
  <c r="F5" i="1"/>
  <c r="F6" i="1"/>
  <c r="F7" i="1"/>
  <c r="F8" i="1"/>
  <c r="F9" i="1"/>
  <c r="F15" i="1"/>
  <c r="F16" i="1"/>
  <c r="F17" i="1"/>
  <c r="F18" i="1"/>
  <c r="F19" i="1"/>
  <c r="F20" i="1"/>
  <c r="F21" i="1"/>
  <c r="F27" i="1"/>
  <c r="F28" i="1"/>
  <c r="F29" i="1"/>
  <c r="F30" i="1"/>
  <c r="F31" i="1"/>
  <c r="F32" i="1"/>
  <c r="F33" i="1"/>
  <c r="F39" i="1"/>
  <c r="F40" i="1"/>
  <c r="F41" i="1"/>
  <c r="F42" i="1"/>
  <c r="F43" i="1"/>
  <c r="F44" i="1"/>
  <c r="F45" i="1"/>
  <c r="F51" i="1"/>
  <c r="F52" i="1"/>
  <c r="F53" i="1"/>
  <c r="F54" i="1"/>
  <c r="F55" i="1"/>
  <c r="F56" i="1"/>
  <c r="F57" i="1"/>
  <c r="F63" i="1"/>
  <c r="F64" i="1"/>
  <c r="F65" i="1"/>
  <c r="F67" i="1"/>
  <c r="F68" i="1"/>
  <c r="F69" i="1"/>
  <c r="F75" i="1"/>
  <c r="F76" i="1"/>
  <c r="F77" i="1"/>
  <c r="F78" i="1"/>
  <c r="F79" i="1"/>
  <c r="F80" i="1"/>
  <c r="F81" i="1"/>
  <c r="F87" i="1"/>
  <c r="F88" i="1"/>
  <c r="F89" i="1"/>
  <c r="F90" i="1"/>
  <c r="F91" i="1"/>
  <c r="F92" i="1"/>
  <c r="F93" i="1"/>
  <c r="F99" i="1"/>
  <c r="F100" i="1"/>
  <c r="F101" i="1"/>
  <c r="F1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2" i="1"/>
  <c r="T91" i="1" l="1"/>
  <c r="T67" i="1"/>
  <c r="T37" i="1"/>
  <c r="T90" i="1"/>
  <c r="T72" i="1"/>
  <c r="T48" i="1"/>
  <c r="T30" i="1"/>
  <c r="T18" i="1"/>
  <c r="T101" i="1"/>
  <c r="T95" i="1"/>
  <c r="T89" i="1"/>
  <c r="T83" i="1"/>
  <c r="T77" i="1"/>
  <c r="T71" i="1"/>
  <c r="T65" i="1"/>
  <c r="T59" i="1"/>
  <c r="T53" i="1"/>
  <c r="T47" i="1"/>
  <c r="T41" i="1"/>
  <c r="T35" i="1"/>
  <c r="T29" i="1"/>
  <c r="T23" i="1"/>
  <c r="T17" i="1"/>
  <c r="T11" i="1"/>
  <c r="T97" i="1"/>
  <c r="T73" i="1"/>
  <c r="T55" i="1"/>
  <c r="T31" i="1"/>
  <c r="T13" i="1"/>
  <c r="T102" i="1"/>
  <c r="T78" i="1"/>
  <c r="T60" i="1"/>
  <c r="T36" i="1"/>
  <c r="T12" i="1"/>
  <c r="T100" i="1"/>
  <c r="T94" i="1"/>
  <c r="T88" i="1"/>
  <c r="T82" i="1"/>
  <c r="T76" i="1"/>
  <c r="T70" i="1"/>
  <c r="T64" i="1"/>
  <c r="T58" i="1"/>
  <c r="T52" i="1"/>
  <c r="T46" i="1"/>
  <c r="T40" i="1"/>
  <c r="T34" i="1"/>
  <c r="T28" i="1"/>
  <c r="T22" i="1"/>
  <c r="T16" i="1"/>
  <c r="T10" i="1"/>
  <c r="T103" i="1"/>
  <c r="T85" i="1"/>
  <c r="T79" i="1"/>
  <c r="T61" i="1"/>
  <c r="T49" i="1"/>
  <c r="T43" i="1"/>
  <c r="T25" i="1"/>
  <c r="T96" i="1"/>
  <c r="T84" i="1"/>
  <c r="T66" i="1"/>
  <c r="T54" i="1"/>
  <c r="T42" i="1"/>
  <c r="T105" i="1"/>
  <c r="T99" i="1"/>
  <c r="T93" i="1"/>
  <c r="T87" i="1"/>
  <c r="T81" i="1"/>
  <c r="T75" i="1"/>
  <c r="T69" i="1"/>
  <c r="T63" i="1"/>
  <c r="T57" i="1"/>
  <c r="T51" i="1"/>
  <c r="T45" i="1"/>
  <c r="T39" i="1"/>
  <c r="T33" i="1"/>
  <c r="T27" i="1"/>
  <c r="T21" i="1"/>
  <c r="T15" i="1"/>
</calcChain>
</file>

<file path=xl/sharedStrings.xml><?xml version="1.0" encoding="utf-8"?>
<sst xmlns="http://schemas.openxmlformats.org/spreadsheetml/2006/main" count="16" uniqueCount="16">
  <si>
    <t>Allocation</t>
  </si>
  <si>
    <t>Best_Research</t>
  </si>
  <si>
    <t>Max_Profit</t>
  </si>
  <si>
    <t>Scale allocation</t>
  </si>
  <si>
    <t>Estimated Scale performance (linear)</t>
  </si>
  <si>
    <t>strategy performance linear</t>
  </si>
  <si>
    <t>maximum profit</t>
  </si>
  <si>
    <t>payoff</t>
  </si>
  <si>
    <t>Estimate 5000 traders submit manual</t>
  </si>
  <si>
    <t>All 100/99 (put down other teams)</t>
  </si>
  <si>
    <t>Linear (Uninformed)</t>
  </si>
  <si>
    <t>All 0/1 (ensure success)</t>
  </si>
  <si>
    <t>normally distributed around linear maximisation (36)</t>
  </si>
  <si>
    <t>normally distributed + 5 to capture excess scale not being used by others</t>
  </si>
  <si>
    <t>cumulative quantity</t>
  </si>
  <si>
    <t>quantity at this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</si>
</sst>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tabSelected="1" topLeftCell="M96" zoomScale="63" workbookViewId="0">
      <selection activeCell="S2" sqref="S2:T105"/>
    </sheetView>
  </sheetViews>
  <sheetFormatPr defaultRowHeight="14.5" x14ac:dyDescent="0.35"/>
  <cols>
    <col min="5" max="5" width="52.7265625" customWidth="1"/>
    <col min="6" max="6" width="28.81640625" customWidth="1"/>
    <col min="13" max="13" width="33.90625" customWidth="1"/>
    <col min="14" max="14" width="20.08984375" customWidth="1"/>
    <col min="15" max="15" width="29.90625" customWidth="1"/>
    <col min="16" max="16" width="31.26953125" customWidth="1"/>
    <col min="17" max="17" width="43.36328125" customWidth="1"/>
    <col min="18" max="18" width="60.453125" customWidth="1"/>
    <col min="19" max="19" width="30.36328125" customWidth="1"/>
    <col min="20" max="20" width="24.7265625" customWidth="1"/>
    <col min="21" max="21" width="17.269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M1" t="s">
        <v>8</v>
      </c>
      <c r="N1" t="s">
        <v>10</v>
      </c>
      <c r="O1" t="s">
        <v>11</v>
      </c>
      <c r="P1" t="s">
        <v>9</v>
      </c>
      <c r="Q1" t="s">
        <v>12</v>
      </c>
      <c r="R1" t="s">
        <v>13</v>
      </c>
      <c r="S1" t="s">
        <v>15</v>
      </c>
      <c r="T1" t="s">
        <v>14</v>
      </c>
    </row>
    <row r="2" spans="1:20" x14ac:dyDescent="0.35">
      <c r="A2">
        <v>0</v>
      </c>
      <c r="B2">
        <v>0</v>
      </c>
      <c r="C2">
        <v>0</v>
      </c>
      <c r="D2">
        <f>100-A2</f>
        <v>100</v>
      </c>
      <c r="E2">
        <f>D2*0.08+1</f>
        <v>9</v>
      </c>
      <c r="F2">
        <f>E2*C2</f>
        <v>0</v>
      </c>
      <c r="M2">
        <v>0</v>
      </c>
      <c r="N2">
        <f>1/101</f>
        <v>9.9009900990099011E-3</v>
      </c>
      <c r="O2">
        <f>0.5</f>
        <v>0.5</v>
      </c>
      <c r="S2">
        <f>(0.3*N2+0.18*O2+0.02*P2+0.3*Q2+0.2*R2)*5000</f>
        <v>464.85148514851483</v>
      </c>
      <c r="T2">
        <f>SUM($S$2:S2)</f>
        <v>464.85148514851483</v>
      </c>
    </row>
    <row r="3" spans="1:20" x14ac:dyDescent="0.35">
      <c r="A3">
        <v>1</v>
      </c>
      <c r="B3">
        <v>0</v>
      </c>
      <c r="C3">
        <v>0</v>
      </c>
      <c r="D3">
        <f t="shared" ref="D3:D66" si="0">100-A3</f>
        <v>99</v>
      </c>
      <c r="E3">
        <f t="shared" ref="E3:E66" si="1">D3*0.08+1</f>
        <v>8.92</v>
      </c>
      <c r="F3">
        <f t="shared" ref="F3:F66" si="2">E3*C3</f>
        <v>0</v>
      </c>
      <c r="M3">
        <v>1</v>
      </c>
      <c r="N3">
        <f t="shared" ref="N3:N66" si="3">1/101</f>
        <v>9.9009900990099011E-3</v>
      </c>
      <c r="O3">
        <v>0.5</v>
      </c>
      <c r="S3">
        <f t="shared" ref="S3:S66" si="4">(0.3*N3+0.18*O3+0.02*P3+0.3*Q3+0.2*R3)*5000</f>
        <v>464.85148514851483</v>
      </c>
      <c r="T3">
        <f>SUM($S$2:S3)</f>
        <v>929.70297029702965</v>
      </c>
    </row>
    <row r="4" spans="1:20" x14ac:dyDescent="0.35">
      <c r="A4">
        <v>2</v>
      </c>
      <c r="B4">
        <v>1</v>
      </c>
      <c r="C4">
        <v>210.26667651316319</v>
      </c>
      <c r="D4">
        <f t="shared" si="0"/>
        <v>98</v>
      </c>
      <c r="E4">
        <f t="shared" si="1"/>
        <v>8.84</v>
      </c>
      <c r="F4">
        <f t="shared" si="2"/>
        <v>1858.7574203763625</v>
      </c>
      <c r="M4">
        <v>2</v>
      </c>
      <c r="N4">
        <f t="shared" si="3"/>
        <v>9.9009900990099011E-3</v>
      </c>
      <c r="S4">
        <f t="shared" si="4"/>
        <v>14.851485148514852</v>
      </c>
      <c r="T4">
        <f>SUM($S$2:S4)</f>
        <v>944.55445544554448</v>
      </c>
    </row>
    <row r="5" spans="1:20" x14ac:dyDescent="0.35">
      <c r="A5">
        <v>3</v>
      </c>
      <c r="B5">
        <v>1</v>
      </c>
      <c r="C5">
        <v>420.53335302632632</v>
      </c>
      <c r="D5">
        <f t="shared" si="0"/>
        <v>97</v>
      </c>
      <c r="E5">
        <f t="shared" si="1"/>
        <v>8.76</v>
      </c>
      <c r="F5">
        <f t="shared" si="2"/>
        <v>3683.8721725106184</v>
      </c>
      <c r="M5">
        <v>3</v>
      </c>
      <c r="N5">
        <f t="shared" si="3"/>
        <v>9.9009900990099011E-3</v>
      </c>
      <c r="S5">
        <f t="shared" si="4"/>
        <v>14.851485148514852</v>
      </c>
      <c r="T5">
        <f>SUM($S$2:S5)</f>
        <v>959.4059405940593</v>
      </c>
    </row>
    <row r="6" spans="1:20" x14ac:dyDescent="0.35">
      <c r="A6">
        <v>4</v>
      </c>
      <c r="B6">
        <v>2</v>
      </c>
      <c r="C6">
        <v>666.52959484925907</v>
      </c>
      <c r="D6">
        <f t="shared" si="0"/>
        <v>96</v>
      </c>
      <c r="E6">
        <f t="shared" si="1"/>
        <v>8.68</v>
      </c>
      <c r="F6">
        <f t="shared" si="2"/>
        <v>5785.4768832915688</v>
      </c>
      <c r="M6">
        <v>4</v>
      </c>
      <c r="N6">
        <f t="shared" si="3"/>
        <v>9.9009900990099011E-3</v>
      </c>
      <c r="S6">
        <f t="shared" si="4"/>
        <v>14.851485148514852</v>
      </c>
      <c r="T6">
        <f>SUM($S$2:S6)</f>
        <v>974.25742574257413</v>
      </c>
    </row>
    <row r="7" spans="1:20" x14ac:dyDescent="0.35">
      <c r="A7">
        <v>5</v>
      </c>
      <c r="B7">
        <v>2</v>
      </c>
      <c r="C7">
        <v>999.79439227388855</v>
      </c>
      <c r="D7">
        <f t="shared" si="0"/>
        <v>95</v>
      </c>
      <c r="E7">
        <f t="shared" si="1"/>
        <v>8.6000000000000014</v>
      </c>
      <c r="F7">
        <f t="shared" si="2"/>
        <v>8598.2317735554425</v>
      </c>
      <c r="M7">
        <v>5</v>
      </c>
      <c r="N7">
        <f t="shared" si="3"/>
        <v>9.9009900990099011E-3</v>
      </c>
      <c r="S7">
        <f t="shared" si="4"/>
        <v>14.851485148514852</v>
      </c>
      <c r="T7">
        <f>SUM($S$2:S7)</f>
        <v>989.10891089108895</v>
      </c>
    </row>
    <row r="8" spans="1:20" x14ac:dyDescent="0.35">
      <c r="A8">
        <v>6</v>
      </c>
      <c r="B8">
        <v>2</v>
      </c>
      <c r="C8">
        <v>1333.0591896985179</v>
      </c>
      <c r="D8">
        <f t="shared" si="0"/>
        <v>94</v>
      </c>
      <c r="E8">
        <f t="shared" si="1"/>
        <v>8.52</v>
      </c>
      <c r="F8">
        <f t="shared" si="2"/>
        <v>11357.664296231373</v>
      </c>
      <c r="M8">
        <v>6</v>
      </c>
      <c r="N8">
        <f t="shared" si="3"/>
        <v>9.9009900990099011E-3</v>
      </c>
      <c r="S8">
        <f t="shared" si="4"/>
        <v>14.851485148514852</v>
      </c>
      <c r="T8">
        <f>SUM($S$2:S8)</f>
        <v>1003.9603960396038</v>
      </c>
    </row>
    <row r="9" spans="1:20" x14ac:dyDescent="0.35">
      <c r="A9">
        <v>7</v>
      </c>
      <c r="B9">
        <v>3</v>
      </c>
      <c r="C9">
        <v>1682.1334121053051</v>
      </c>
      <c r="D9">
        <f t="shared" si="0"/>
        <v>93</v>
      </c>
      <c r="E9">
        <f t="shared" si="1"/>
        <v>8.4400000000000013</v>
      </c>
      <c r="F9">
        <f t="shared" si="2"/>
        <v>14197.205998168776</v>
      </c>
      <c r="M9">
        <v>7</v>
      </c>
      <c r="N9">
        <f t="shared" si="3"/>
        <v>9.9009900990099011E-3</v>
      </c>
      <c r="S9">
        <f t="shared" si="4"/>
        <v>14.851485148514852</v>
      </c>
      <c r="T9">
        <f>SUM($S$2:S9)</f>
        <v>1018.8118811881186</v>
      </c>
    </row>
    <row r="10" spans="1:20" x14ac:dyDescent="0.35">
      <c r="A10">
        <v>8</v>
      </c>
      <c r="B10">
        <v>3</v>
      </c>
      <c r="C10">
        <v>2102.666765131632</v>
      </c>
      <c r="D10">
        <f t="shared" si="0"/>
        <v>92</v>
      </c>
      <c r="E10">
        <f t="shared" si="1"/>
        <v>8.36</v>
      </c>
      <c r="F10">
        <f t="shared" si="2"/>
        <v>17578.294156500444</v>
      </c>
      <c r="M10">
        <v>8</v>
      </c>
      <c r="N10">
        <f t="shared" si="3"/>
        <v>9.9009900990099011E-3</v>
      </c>
      <c r="S10">
        <f t="shared" si="4"/>
        <v>14.851485148514852</v>
      </c>
      <c r="T10">
        <f>SUM($S$2:S10)</f>
        <v>1033.6633663366335</v>
      </c>
    </row>
    <row r="11" spans="1:20" x14ac:dyDescent="0.35">
      <c r="A11">
        <v>9</v>
      </c>
      <c r="B11">
        <v>3</v>
      </c>
      <c r="C11">
        <v>2523.2001181579581</v>
      </c>
      <c r="D11">
        <f t="shared" si="0"/>
        <v>91</v>
      </c>
      <c r="E11">
        <f t="shared" si="1"/>
        <v>8.2800000000000011</v>
      </c>
      <c r="F11">
        <f t="shared" si="2"/>
        <v>20892.096978347894</v>
      </c>
      <c r="M11">
        <v>9</v>
      </c>
      <c r="N11">
        <f t="shared" si="3"/>
        <v>9.9009900990099011E-3</v>
      </c>
      <c r="S11">
        <f t="shared" si="4"/>
        <v>14.851485148514852</v>
      </c>
      <c r="T11">
        <f>SUM($S$2:S11)</f>
        <v>1048.5148514851485</v>
      </c>
    </row>
    <row r="12" spans="1:20" x14ac:dyDescent="0.35">
      <c r="A12">
        <v>10</v>
      </c>
      <c r="B12">
        <v>3</v>
      </c>
      <c r="C12">
        <v>2943.733471184285</v>
      </c>
      <c r="D12">
        <f t="shared" si="0"/>
        <v>90</v>
      </c>
      <c r="E12">
        <f t="shared" si="1"/>
        <v>8.1999999999999993</v>
      </c>
      <c r="F12">
        <f t="shared" si="2"/>
        <v>24138.614463711136</v>
      </c>
      <c r="M12">
        <v>10</v>
      </c>
      <c r="N12">
        <f t="shared" si="3"/>
        <v>9.9009900990099011E-3</v>
      </c>
      <c r="S12">
        <f t="shared" si="4"/>
        <v>14.851485148514852</v>
      </c>
      <c r="T12">
        <f>SUM($S$2:S12)</f>
        <v>1063.3663366336634</v>
      </c>
    </row>
    <row r="13" spans="1:20" x14ac:dyDescent="0.35">
      <c r="A13">
        <v>11</v>
      </c>
      <c r="B13">
        <v>4</v>
      </c>
      <c r="C13">
        <v>3417.568725301544</v>
      </c>
      <c r="D13">
        <f t="shared" si="0"/>
        <v>89</v>
      </c>
      <c r="E13">
        <f t="shared" si="1"/>
        <v>8.120000000000001</v>
      </c>
      <c r="F13">
        <f t="shared" si="2"/>
        <v>27750.658049448539</v>
      </c>
      <c r="M13">
        <v>11</v>
      </c>
      <c r="N13">
        <f t="shared" si="3"/>
        <v>9.9009900990099011E-3</v>
      </c>
      <c r="S13">
        <f t="shared" si="4"/>
        <v>14.851485148514852</v>
      </c>
      <c r="T13">
        <f>SUM($S$2:S13)</f>
        <v>1078.2178217821784</v>
      </c>
    </row>
    <row r="14" spans="1:20" x14ac:dyDescent="0.35">
      <c r="A14">
        <v>12</v>
      </c>
      <c r="B14">
        <v>4</v>
      </c>
      <c r="C14">
        <v>3905.79282891605</v>
      </c>
      <c r="D14">
        <f t="shared" si="0"/>
        <v>88</v>
      </c>
      <c r="E14">
        <f t="shared" si="1"/>
        <v>8.0399999999999991</v>
      </c>
      <c r="F14">
        <f t="shared" si="2"/>
        <v>31402.574344485038</v>
      </c>
      <c r="M14">
        <v>12</v>
      </c>
      <c r="N14">
        <f t="shared" si="3"/>
        <v>9.9009900990099011E-3</v>
      </c>
      <c r="S14">
        <f t="shared" si="4"/>
        <v>14.851485148514852</v>
      </c>
      <c r="T14">
        <f>SUM($S$2:S14)</f>
        <v>1093.0693069306933</v>
      </c>
    </row>
    <row r="15" spans="1:20" x14ac:dyDescent="0.35">
      <c r="A15">
        <v>13</v>
      </c>
      <c r="B15">
        <v>4</v>
      </c>
      <c r="C15">
        <v>4394.0169325305569</v>
      </c>
      <c r="D15">
        <f t="shared" si="0"/>
        <v>87</v>
      </c>
      <c r="E15">
        <f t="shared" si="1"/>
        <v>7.96</v>
      </c>
      <c r="F15">
        <f t="shared" si="2"/>
        <v>34976.374782943232</v>
      </c>
      <c r="M15">
        <v>13</v>
      </c>
      <c r="N15">
        <f t="shared" si="3"/>
        <v>9.9009900990099011E-3</v>
      </c>
      <c r="S15">
        <f t="shared" si="4"/>
        <v>14.851485148514852</v>
      </c>
      <c r="T15">
        <f>SUM($S$2:S15)</f>
        <v>1107.9207920792082</v>
      </c>
    </row>
    <row r="16" spans="1:20" x14ac:dyDescent="0.35">
      <c r="A16">
        <v>14</v>
      </c>
      <c r="B16">
        <v>5</v>
      </c>
      <c r="C16">
        <v>4891.7832654401354</v>
      </c>
      <c r="D16">
        <f t="shared" si="0"/>
        <v>86</v>
      </c>
      <c r="E16">
        <f t="shared" si="1"/>
        <v>7.88</v>
      </c>
      <c r="F16">
        <f t="shared" si="2"/>
        <v>38547.252131668269</v>
      </c>
      <c r="M16">
        <v>14</v>
      </c>
      <c r="N16">
        <f t="shared" si="3"/>
        <v>9.9009900990099011E-3</v>
      </c>
      <c r="S16">
        <f t="shared" si="4"/>
        <v>14.851485148514852</v>
      </c>
      <c r="T16">
        <f>SUM($S$2:S16)</f>
        <v>1122.7722772277232</v>
      </c>
    </row>
    <row r="17" spans="1:20" x14ac:dyDescent="0.35">
      <c r="A17">
        <v>15</v>
      </c>
      <c r="B17">
        <v>5</v>
      </c>
      <c r="C17">
        <v>5435.3147393779273</v>
      </c>
      <c r="D17">
        <f t="shared" si="0"/>
        <v>85</v>
      </c>
      <c r="E17">
        <f t="shared" si="1"/>
        <v>7.8</v>
      </c>
      <c r="F17">
        <f t="shared" si="2"/>
        <v>42395.454967147831</v>
      </c>
      <c r="M17">
        <v>15</v>
      </c>
      <c r="N17">
        <f t="shared" si="3"/>
        <v>9.9009900990099011E-3</v>
      </c>
      <c r="S17">
        <f t="shared" si="4"/>
        <v>14.851485148514852</v>
      </c>
      <c r="T17">
        <f>SUM($S$2:S17)</f>
        <v>1137.6237623762381</v>
      </c>
    </row>
    <row r="18" spans="1:20" x14ac:dyDescent="0.35">
      <c r="A18">
        <v>16</v>
      </c>
      <c r="B18">
        <v>5</v>
      </c>
      <c r="C18">
        <v>5978.8462133157191</v>
      </c>
      <c r="D18">
        <f t="shared" si="0"/>
        <v>84</v>
      </c>
      <c r="E18">
        <f t="shared" si="1"/>
        <v>7.72</v>
      </c>
      <c r="F18">
        <f t="shared" si="2"/>
        <v>46156.69276679735</v>
      </c>
      <c r="M18">
        <v>16</v>
      </c>
      <c r="N18">
        <f t="shared" si="3"/>
        <v>9.9009900990099011E-3</v>
      </c>
      <c r="S18">
        <f t="shared" si="4"/>
        <v>14.851485148514852</v>
      </c>
      <c r="T18">
        <f>SUM($S$2:S18)</f>
        <v>1152.4752475247531</v>
      </c>
    </row>
    <row r="19" spans="1:20" x14ac:dyDescent="0.35">
      <c r="A19">
        <v>17</v>
      </c>
      <c r="B19">
        <v>5</v>
      </c>
      <c r="C19">
        <v>6522.3776872535127</v>
      </c>
      <c r="D19">
        <f t="shared" si="0"/>
        <v>83</v>
      </c>
      <c r="E19">
        <f t="shared" si="1"/>
        <v>7.6400000000000006</v>
      </c>
      <c r="F19">
        <f t="shared" si="2"/>
        <v>49830.965530616842</v>
      </c>
      <c r="M19">
        <v>17</v>
      </c>
      <c r="N19">
        <f t="shared" si="3"/>
        <v>9.9009900990099011E-3</v>
      </c>
      <c r="S19">
        <f t="shared" si="4"/>
        <v>14.851485148514852</v>
      </c>
      <c r="T19">
        <f>SUM($S$2:S19)</f>
        <v>1167.326732673268</v>
      </c>
    </row>
    <row r="20" spans="1:20" x14ac:dyDescent="0.35">
      <c r="A20">
        <v>18</v>
      </c>
      <c r="B20">
        <v>6</v>
      </c>
      <c r="C20">
        <v>7083.5182710470726</v>
      </c>
      <c r="D20">
        <f t="shared" si="0"/>
        <v>82</v>
      </c>
      <c r="E20">
        <f t="shared" si="1"/>
        <v>7.5600000000000005</v>
      </c>
      <c r="F20">
        <f t="shared" si="2"/>
        <v>53551.398129115871</v>
      </c>
      <c r="M20">
        <v>18</v>
      </c>
      <c r="N20">
        <f t="shared" si="3"/>
        <v>9.9009900990099011E-3</v>
      </c>
      <c r="S20">
        <f t="shared" si="4"/>
        <v>14.851485148514852</v>
      </c>
      <c r="T20">
        <f>SUM($S$2:S20)</f>
        <v>1182.1782178217829</v>
      </c>
    </row>
    <row r="21" spans="1:20" x14ac:dyDescent="0.35">
      <c r="A21">
        <v>19</v>
      </c>
      <c r="B21">
        <v>6</v>
      </c>
      <c r="C21">
        <v>7673.8114603009953</v>
      </c>
      <c r="D21">
        <f t="shared" si="0"/>
        <v>81</v>
      </c>
      <c r="E21">
        <f t="shared" si="1"/>
        <v>7.48</v>
      </c>
      <c r="F21">
        <f t="shared" si="2"/>
        <v>57400.10972305145</v>
      </c>
      <c r="M21">
        <v>19</v>
      </c>
      <c r="N21">
        <f t="shared" si="3"/>
        <v>9.9009900990099011E-3</v>
      </c>
      <c r="S21">
        <f t="shared" si="4"/>
        <v>14.851485148514852</v>
      </c>
      <c r="T21">
        <f>SUM($S$2:S21)</f>
        <v>1197.0297029702979</v>
      </c>
    </row>
    <row r="22" spans="1:20" x14ac:dyDescent="0.35">
      <c r="A22">
        <v>20</v>
      </c>
      <c r="B22">
        <v>6</v>
      </c>
      <c r="C22">
        <v>8264.1046495549181</v>
      </c>
      <c r="D22">
        <f t="shared" si="0"/>
        <v>80</v>
      </c>
      <c r="E22">
        <f t="shared" si="1"/>
        <v>7.4</v>
      </c>
      <c r="F22">
        <f t="shared" si="2"/>
        <v>61154.374406706396</v>
      </c>
      <c r="M22">
        <v>20</v>
      </c>
      <c r="N22">
        <f t="shared" si="3"/>
        <v>9.9009900990099011E-3</v>
      </c>
      <c r="S22">
        <f t="shared" si="4"/>
        <v>14.851485148514852</v>
      </c>
      <c r="T22">
        <f>SUM($S$2:S22)</f>
        <v>1211.8811881188128</v>
      </c>
    </row>
    <row r="23" spans="1:20" x14ac:dyDescent="0.35">
      <c r="A23">
        <v>21</v>
      </c>
      <c r="B23">
        <v>6</v>
      </c>
      <c r="C23">
        <v>8854.3978388088399</v>
      </c>
      <c r="D23">
        <f t="shared" si="0"/>
        <v>79</v>
      </c>
      <c r="E23">
        <f t="shared" si="1"/>
        <v>7.32</v>
      </c>
      <c r="F23">
        <f t="shared" si="2"/>
        <v>64814.19218008071</v>
      </c>
      <c r="M23">
        <v>21</v>
      </c>
      <c r="N23">
        <f t="shared" si="3"/>
        <v>9.9009900990099011E-3</v>
      </c>
      <c r="S23">
        <f t="shared" si="4"/>
        <v>14.851485148514852</v>
      </c>
      <c r="T23">
        <f>SUM($S$2:S23)</f>
        <v>1226.7326732673278</v>
      </c>
    </row>
    <row r="24" spans="1:20" x14ac:dyDescent="0.35">
      <c r="A24">
        <v>22</v>
      </c>
      <c r="B24">
        <v>7</v>
      </c>
      <c r="C24">
        <v>9462.0004430923418</v>
      </c>
      <c r="D24">
        <f t="shared" si="0"/>
        <v>78</v>
      </c>
      <c r="E24">
        <f t="shared" si="1"/>
        <v>7.24</v>
      </c>
      <c r="F24">
        <f t="shared" si="2"/>
        <v>68504.883207988561</v>
      </c>
      <c r="M24">
        <v>22</v>
      </c>
      <c r="N24">
        <f t="shared" si="3"/>
        <v>9.9009900990099011E-3</v>
      </c>
      <c r="S24">
        <f t="shared" si="4"/>
        <v>14.851485148514852</v>
      </c>
      <c r="T24">
        <f>SUM($S$2:S24)</f>
        <v>1241.5841584158427</v>
      </c>
    </row>
    <row r="25" spans="1:20" x14ac:dyDescent="0.35">
      <c r="A25">
        <v>23</v>
      </c>
      <c r="B25">
        <v>7</v>
      </c>
      <c r="C25">
        <v>10092.80047263183</v>
      </c>
      <c r="D25">
        <f t="shared" si="0"/>
        <v>77</v>
      </c>
      <c r="E25">
        <f t="shared" si="1"/>
        <v>7.16</v>
      </c>
      <c r="F25">
        <f t="shared" si="2"/>
        <v>72264.451384043903</v>
      </c>
      <c r="M25">
        <v>23</v>
      </c>
      <c r="N25">
        <f t="shared" si="3"/>
        <v>9.9009900990099011E-3</v>
      </c>
      <c r="S25">
        <f t="shared" si="4"/>
        <v>14.851485148514852</v>
      </c>
      <c r="T25">
        <f>SUM($S$2:S25)</f>
        <v>1256.4356435643576</v>
      </c>
    </row>
    <row r="26" spans="1:20" x14ac:dyDescent="0.35">
      <c r="A26">
        <v>24</v>
      </c>
      <c r="B26">
        <v>7</v>
      </c>
      <c r="C26">
        <v>10723.600502171321</v>
      </c>
      <c r="D26">
        <f t="shared" si="0"/>
        <v>76</v>
      </c>
      <c r="E26">
        <f t="shared" si="1"/>
        <v>7.08</v>
      </c>
      <c r="F26">
        <f t="shared" si="2"/>
        <v>75923.091555372957</v>
      </c>
      <c r="M26">
        <v>24</v>
      </c>
      <c r="N26">
        <f t="shared" si="3"/>
        <v>9.9009900990099011E-3</v>
      </c>
      <c r="S26">
        <f t="shared" si="4"/>
        <v>14.851485148514852</v>
      </c>
      <c r="T26">
        <f>SUM($S$2:S26)</f>
        <v>1271.2871287128726</v>
      </c>
    </row>
    <row r="27" spans="1:20" x14ac:dyDescent="0.35">
      <c r="A27">
        <v>25</v>
      </c>
      <c r="B27">
        <v>7</v>
      </c>
      <c r="C27">
        <v>11354.400531710809</v>
      </c>
      <c r="D27">
        <f t="shared" si="0"/>
        <v>75</v>
      </c>
      <c r="E27">
        <f t="shared" si="1"/>
        <v>7</v>
      </c>
      <c r="F27">
        <f t="shared" si="2"/>
        <v>79480.803721975666</v>
      </c>
      <c r="M27">
        <v>25</v>
      </c>
      <c r="N27">
        <f t="shared" si="3"/>
        <v>9.9009900990099011E-3</v>
      </c>
      <c r="S27">
        <f t="shared" si="4"/>
        <v>14.851485148514852</v>
      </c>
      <c r="T27">
        <f>SUM($S$2:S27)</f>
        <v>1286.1386138613875</v>
      </c>
    </row>
    <row r="28" spans="1:20" x14ac:dyDescent="0.35">
      <c r="A28">
        <v>26</v>
      </c>
      <c r="B28">
        <v>8</v>
      </c>
      <c r="C28">
        <v>11997.53270728666</v>
      </c>
      <c r="D28">
        <f t="shared" si="0"/>
        <v>74</v>
      </c>
      <c r="E28">
        <f t="shared" si="1"/>
        <v>6.92</v>
      </c>
      <c r="F28">
        <f t="shared" si="2"/>
        <v>83022.926334423682</v>
      </c>
      <c r="M28">
        <v>26</v>
      </c>
      <c r="N28">
        <f t="shared" si="3"/>
        <v>9.9009900990099011E-3</v>
      </c>
      <c r="S28">
        <f t="shared" si="4"/>
        <v>14.851485148514852</v>
      </c>
      <c r="T28">
        <f>SUM($S$2:S28)</f>
        <v>1300.9900990099025</v>
      </c>
    </row>
    <row r="29" spans="1:20" x14ac:dyDescent="0.35">
      <c r="A29">
        <v>27</v>
      </c>
      <c r="B29">
        <v>8</v>
      </c>
      <c r="C29">
        <v>12664.062302135921</v>
      </c>
      <c r="D29">
        <f t="shared" si="0"/>
        <v>73</v>
      </c>
      <c r="E29">
        <f t="shared" si="1"/>
        <v>6.84</v>
      </c>
      <c r="F29">
        <f t="shared" si="2"/>
        <v>86622.186146609689</v>
      </c>
      <c r="M29">
        <v>27</v>
      </c>
      <c r="N29">
        <f t="shared" si="3"/>
        <v>9.9009900990099011E-3</v>
      </c>
      <c r="S29">
        <f t="shared" si="4"/>
        <v>14.851485148514852</v>
      </c>
      <c r="T29">
        <f>SUM($S$2:S29)</f>
        <v>1315.8415841584174</v>
      </c>
    </row>
    <row r="30" spans="1:20" x14ac:dyDescent="0.35">
      <c r="A30">
        <v>28</v>
      </c>
      <c r="B30">
        <v>8</v>
      </c>
      <c r="C30">
        <v>13330.591896985179</v>
      </c>
      <c r="D30">
        <f t="shared" si="0"/>
        <v>72</v>
      </c>
      <c r="E30">
        <f t="shared" si="1"/>
        <v>6.76</v>
      </c>
      <c r="F30">
        <f t="shared" si="2"/>
        <v>90114.801223619812</v>
      </c>
      <c r="M30">
        <v>28</v>
      </c>
      <c r="N30">
        <f t="shared" si="3"/>
        <v>9.9009900990099011E-3</v>
      </c>
      <c r="S30">
        <f t="shared" si="4"/>
        <v>14.851485148514852</v>
      </c>
      <c r="T30">
        <f>SUM($S$2:S30)</f>
        <v>1330.6930693069323</v>
      </c>
    </row>
    <row r="31" spans="1:20" x14ac:dyDescent="0.35">
      <c r="A31">
        <v>29</v>
      </c>
      <c r="B31">
        <v>8</v>
      </c>
      <c r="C31">
        <v>13997.121491834439</v>
      </c>
      <c r="D31">
        <f t="shared" si="0"/>
        <v>71</v>
      </c>
      <c r="E31">
        <f t="shared" si="1"/>
        <v>6.68</v>
      </c>
      <c r="F31">
        <f t="shared" si="2"/>
        <v>93500.771565454052</v>
      </c>
      <c r="M31">
        <v>29</v>
      </c>
      <c r="N31">
        <f t="shared" si="3"/>
        <v>9.9009900990099011E-3</v>
      </c>
      <c r="S31">
        <f t="shared" si="4"/>
        <v>14.851485148514852</v>
      </c>
      <c r="T31">
        <f>SUM($S$2:S31)</f>
        <v>1345.5445544554473</v>
      </c>
    </row>
    <row r="32" spans="1:20" x14ac:dyDescent="0.35">
      <c r="A32">
        <v>30</v>
      </c>
      <c r="B32">
        <v>9</v>
      </c>
      <c r="C32">
        <v>14668.306382681059</v>
      </c>
      <c r="D32">
        <f t="shared" si="0"/>
        <v>70</v>
      </c>
      <c r="E32">
        <f t="shared" si="1"/>
        <v>6.6000000000000005</v>
      </c>
      <c r="F32">
        <f t="shared" si="2"/>
        <v>96810.822125695006</v>
      </c>
      <c r="M32">
        <v>30</v>
      </c>
      <c r="N32">
        <f t="shared" si="3"/>
        <v>9.9009900990099011E-3</v>
      </c>
      <c r="S32">
        <f t="shared" si="4"/>
        <v>14.851485148514852</v>
      </c>
      <c r="T32">
        <f>SUM($S$2:S32)</f>
        <v>1360.3960396039622</v>
      </c>
    </row>
    <row r="33" spans="1:20" x14ac:dyDescent="0.35">
      <c r="A33">
        <v>31</v>
      </c>
      <c r="B33">
        <v>9</v>
      </c>
      <c r="C33">
        <v>15366.797162808731</v>
      </c>
      <c r="D33">
        <f t="shared" si="0"/>
        <v>69</v>
      </c>
      <c r="E33">
        <f t="shared" si="1"/>
        <v>6.5200000000000005</v>
      </c>
      <c r="F33">
        <f t="shared" si="2"/>
        <v>100191.51750151294</v>
      </c>
      <c r="M33">
        <v>31</v>
      </c>
      <c r="N33">
        <f t="shared" si="3"/>
        <v>9.9009900990099011E-3</v>
      </c>
      <c r="S33">
        <f t="shared" si="4"/>
        <v>14.851485148514852</v>
      </c>
      <c r="T33">
        <f>SUM($S$2:S33)</f>
        <v>1375.2475247524771</v>
      </c>
    </row>
    <row r="34" spans="1:20" x14ac:dyDescent="0.35">
      <c r="A34">
        <v>32</v>
      </c>
      <c r="B34">
        <v>9</v>
      </c>
      <c r="C34">
        <v>16065.2879429364</v>
      </c>
      <c r="D34">
        <f t="shared" si="0"/>
        <v>68</v>
      </c>
      <c r="E34">
        <f t="shared" si="1"/>
        <v>6.44</v>
      </c>
      <c r="F34">
        <f t="shared" si="2"/>
        <v>103460.45435251042</v>
      </c>
      <c r="M34">
        <v>32</v>
      </c>
      <c r="N34">
        <f t="shared" si="3"/>
        <v>9.9009900990099011E-3</v>
      </c>
      <c r="S34">
        <f t="shared" si="4"/>
        <v>14.851485148514852</v>
      </c>
      <c r="T34">
        <f>SUM($S$2:S34)</f>
        <v>1390.0990099009921</v>
      </c>
    </row>
    <row r="35" spans="1:20" x14ac:dyDescent="0.35">
      <c r="A35">
        <v>33</v>
      </c>
      <c r="B35">
        <v>9</v>
      </c>
      <c r="C35">
        <v>16763.778723064072</v>
      </c>
      <c r="D35">
        <f t="shared" si="0"/>
        <v>67</v>
      </c>
      <c r="E35">
        <f t="shared" si="1"/>
        <v>6.36</v>
      </c>
      <c r="F35">
        <f t="shared" si="2"/>
        <v>106617.6326786875</v>
      </c>
      <c r="M35">
        <v>33</v>
      </c>
      <c r="N35">
        <f t="shared" si="3"/>
        <v>9.9009900990099011E-3</v>
      </c>
      <c r="S35">
        <f t="shared" si="4"/>
        <v>14.851485148514852</v>
      </c>
      <c r="T35">
        <f>SUM($S$2:S35)</f>
        <v>1404.950495049507</v>
      </c>
    </row>
    <row r="36" spans="1:20" x14ac:dyDescent="0.35">
      <c r="A36">
        <v>34</v>
      </c>
      <c r="B36">
        <v>9</v>
      </c>
      <c r="C36">
        <v>17462.269503191739</v>
      </c>
      <c r="D36">
        <f t="shared" si="0"/>
        <v>66</v>
      </c>
      <c r="E36">
        <f t="shared" si="1"/>
        <v>6.28</v>
      </c>
      <c r="F36">
        <f t="shared" si="2"/>
        <v>109663.05248004412</v>
      </c>
      <c r="M36">
        <v>34</v>
      </c>
      <c r="N36">
        <f t="shared" si="3"/>
        <v>9.9009900990099011E-3</v>
      </c>
      <c r="S36">
        <f t="shared" si="4"/>
        <v>14.851485148514852</v>
      </c>
      <c r="T36">
        <f>SUM($S$2:S36)</f>
        <v>1419.801980198022</v>
      </c>
    </row>
    <row r="37" spans="1:20" x14ac:dyDescent="0.35">
      <c r="A37">
        <v>35</v>
      </c>
      <c r="B37">
        <v>10</v>
      </c>
      <c r="C37">
        <v>18185.079726885429</v>
      </c>
      <c r="D37">
        <f t="shared" si="0"/>
        <v>65</v>
      </c>
      <c r="E37">
        <f t="shared" si="1"/>
        <v>6.2</v>
      </c>
      <c r="F37">
        <f t="shared" si="2"/>
        <v>112747.49430668967</v>
      </c>
      <c r="M37">
        <v>35</v>
      </c>
      <c r="N37">
        <f t="shared" si="3"/>
        <v>9.9009900990099011E-3</v>
      </c>
      <c r="S37">
        <f t="shared" si="4"/>
        <v>14.851485148514852</v>
      </c>
      <c r="T37">
        <f>SUM($S$2:S37)</f>
        <v>1434.6534653465369</v>
      </c>
    </row>
    <row r="38" spans="1:20" x14ac:dyDescent="0.35">
      <c r="A38">
        <v>36</v>
      </c>
      <c r="B38">
        <v>10</v>
      </c>
      <c r="C38">
        <v>18912.482915960849</v>
      </c>
      <c r="D38">
        <f t="shared" si="0"/>
        <v>64</v>
      </c>
      <c r="E38">
        <f t="shared" si="1"/>
        <v>6.12</v>
      </c>
      <c r="F38">
        <f t="shared" si="2"/>
        <v>115744.39544568039</v>
      </c>
      <c r="M38">
        <v>36</v>
      </c>
      <c r="N38">
        <f t="shared" si="3"/>
        <v>9.9009900990099011E-3</v>
      </c>
      <c r="S38">
        <f t="shared" si="4"/>
        <v>14.851485148514852</v>
      </c>
      <c r="T38">
        <f>SUM($S$2:S38)</f>
        <v>1449.5049504950518</v>
      </c>
    </row>
    <row r="39" spans="1:20" x14ac:dyDescent="0.35">
      <c r="A39">
        <v>37</v>
      </c>
      <c r="B39">
        <v>10</v>
      </c>
      <c r="C39">
        <v>19639.886105036261</v>
      </c>
      <c r="D39">
        <f t="shared" si="0"/>
        <v>63</v>
      </c>
      <c r="E39">
        <f t="shared" si="1"/>
        <v>6.04</v>
      </c>
      <c r="F39">
        <f t="shared" si="2"/>
        <v>118624.91207441901</v>
      </c>
      <c r="M39">
        <v>37</v>
      </c>
      <c r="N39">
        <f t="shared" si="3"/>
        <v>9.9009900990099011E-3</v>
      </c>
      <c r="S39">
        <f t="shared" si="4"/>
        <v>14.851485148514852</v>
      </c>
      <c r="T39">
        <f>SUM($S$2:S39)</f>
        <v>1464.3564356435668</v>
      </c>
    </row>
    <row r="40" spans="1:20" x14ac:dyDescent="0.35">
      <c r="A40">
        <v>38</v>
      </c>
      <c r="B40">
        <v>10</v>
      </c>
      <c r="C40">
        <v>20367.289294111681</v>
      </c>
      <c r="D40">
        <f t="shared" si="0"/>
        <v>62</v>
      </c>
      <c r="E40">
        <f t="shared" si="1"/>
        <v>5.96</v>
      </c>
      <c r="F40">
        <f t="shared" si="2"/>
        <v>121389.04419290561</v>
      </c>
      <c r="M40">
        <v>38</v>
      </c>
      <c r="N40">
        <f t="shared" si="3"/>
        <v>9.9009900990099011E-3</v>
      </c>
      <c r="S40">
        <f t="shared" si="4"/>
        <v>14.851485148514852</v>
      </c>
      <c r="T40">
        <f>SUM($S$2:S40)</f>
        <v>1479.2079207920817</v>
      </c>
    </row>
    <row r="41" spans="1:20" x14ac:dyDescent="0.35">
      <c r="A41">
        <v>39</v>
      </c>
      <c r="B41">
        <v>11</v>
      </c>
      <c r="C41">
        <v>21106.348212626759</v>
      </c>
      <c r="D41">
        <f t="shared" si="0"/>
        <v>61</v>
      </c>
      <c r="E41">
        <f t="shared" si="1"/>
        <v>5.88</v>
      </c>
      <c r="F41">
        <f t="shared" si="2"/>
        <v>124105.32749024534</v>
      </c>
      <c r="M41">
        <v>39</v>
      </c>
      <c r="N41">
        <f t="shared" si="3"/>
        <v>9.9009900990099011E-3</v>
      </c>
      <c r="S41">
        <f t="shared" si="4"/>
        <v>14.851485148514852</v>
      </c>
      <c r="T41">
        <f>SUM($S$2:S41)</f>
        <v>1494.0594059405967</v>
      </c>
    </row>
    <row r="42" spans="1:20" x14ac:dyDescent="0.35">
      <c r="A42">
        <v>40</v>
      </c>
      <c r="B42">
        <v>11</v>
      </c>
      <c r="C42">
        <v>21860.146363077722</v>
      </c>
      <c r="D42">
        <f t="shared" si="0"/>
        <v>60</v>
      </c>
      <c r="E42">
        <f t="shared" si="1"/>
        <v>5.8</v>
      </c>
      <c r="F42">
        <f t="shared" si="2"/>
        <v>126788.84890585078</v>
      </c>
      <c r="M42">
        <v>40</v>
      </c>
      <c r="N42">
        <f t="shared" si="3"/>
        <v>9.9009900990099011E-3</v>
      </c>
      <c r="S42">
        <f t="shared" si="4"/>
        <v>14.851485148514852</v>
      </c>
      <c r="T42">
        <f>SUM($S$2:S42)</f>
        <v>1508.9108910891116</v>
      </c>
    </row>
    <row r="43" spans="1:20" x14ac:dyDescent="0.35">
      <c r="A43">
        <v>41</v>
      </c>
      <c r="B43">
        <v>11</v>
      </c>
      <c r="C43">
        <v>22613.94451352867</v>
      </c>
      <c r="D43">
        <f t="shared" si="0"/>
        <v>59</v>
      </c>
      <c r="E43">
        <f t="shared" si="1"/>
        <v>5.72</v>
      </c>
      <c r="F43">
        <f t="shared" si="2"/>
        <v>129351.76261738398</v>
      </c>
      <c r="M43">
        <v>41</v>
      </c>
      <c r="N43">
        <f t="shared" si="3"/>
        <v>9.9009900990099011E-3</v>
      </c>
      <c r="S43">
        <f t="shared" si="4"/>
        <v>14.851485148514852</v>
      </c>
      <c r="T43">
        <f>SUM($S$2:S43)</f>
        <v>1523.7623762376265</v>
      </c>
    </row>
    <row r="44" spans="1:20" x14ac:dyDescent="0.35">
      <c r="A44">
        <v>42</v>
      </c>
      <c r="B44">
        <v>11</v>
      </c>
      <c r="C44">
        <v>23367.742663979629</v>
      </c>
      <c r="D44">
        <f t="shared" si="0"/>
        <v>58</v>
      </c>
      <c r="E44">
        <f t="shared" si="1"/>
        <v>5.64</v>
      </c>
      <c r="F44">
        <f t="shared" si="2"/>
        <v>131794.06862484509</v>
      </c>
      <c r="M44">
        <v>42</v>
      </c>
      <c r="N44">
        <f t="shared" si="3"/>
        <v>9.9009900990099011E-3</v>
      </c>
      <c r="S44">
        <f t="shared" si="4"/>
        <v>14.851485148514852</v>
      </c>
      <c r="T44">
        <f>SUM($S$2:S44)</f>
        <v>1538.6138613861415</v>
      </c>
    </row>
    <row r="45" spans="1:20" x14ac:dyDescent="0.35">
      <c r="A45">
        <v>43</v>
      </c>
      <c r="B45">
        <v>11</v>
      </c>
      <c r="C45">
        <v>24121.54081443058</v>
      </c>
      <c r="D45">
        <f t="shared" si="0"/>
        <v>57</v>
      </c>
      <c r="E45">
        <f t="shared" si="1"/>
        <v>5.5600000000000005</v>
      </c>
      <c r="F45">
        <f t="shared" si="2"/>
        <v>134115.76692823405</v>
      </c>
      <c r="M45">
        <v>43</v>
      </c>
      <c r="N45">
        <f t="shared" si="3"/>
        <v>9.9009900990099011E-3</v>
      </c>
      <c r="S45">
        <f t="shared" si="4"/>
        <v>14.851485148514852</v>
      </c>
      <c r="T45">
        <f>SUM($S$2:S45)</f>
        <v>1553.4653465346564</v>
      </c>
    </row>
    <row r="46" spans="1:20" x14ac:dyDescent="0.35">
      <c r="A46">
        <v>44</v>
      </c>
      <c r="B46">
        <v>12</v>
      </c>
      <c r="C46">
        <v>24898.533157466682</v>
      </c>
      <c r="D46">
        <f t="shared" si="0"/>
        <v>56</v>
      </c>
      <c r="E46">
        <f t="shared" si="1"/>
        <v>5.48</v>
      </c>
      <c r="F46">
        <f t="shared" si="2"/>
        <v>136443.96170291741</v>
      </c>
      <c r="M46">
        <v>44</v>
      </c>
      <c r="N46">
        <f t="shared" si="3"/>
        <v>9.9009900990099011E-3</v>
      </c>
      <c r="S46">
        <f t="shared" si="4"/>
        <v>14.851485148514852</v>
      </c>
      <c r="T46">
        <f>SUM($S$2:S46)</f>
        <v>1568.3168316831714</v>
      </c>
    </row>
    <row r="47" spans="1:20" x14ac:dyDescent="0.35">
      <c r="A47">
        <v>45</v>
      </c>
      <c r="B47">
        <v>12</v>
      </c>
      <c r="C47">
        <v>25676.612318637512</v>
      </c>
      <c r="D47">
        <f t="shared" si="0"/>
        <v>55</v>
      </c>
      <c r="E47">
        <f t="shared" si="1"/>
        <v>5.4</v>
      </c>
      <c r="F47">
        <f t="shared" si="2"/>
        <v>138653.70652064256</v>
      </c>
      <c r="M47">
        <v>45</v>
      </c>
      <c r="N47">
        <f t="shared" si="3"/>
        <v>9.9009900990099011E-3</v>
      </c>
      <c r="S47">
        <f t="shared" si="4"/>
        <v>14.851485148514852</v>
      </c>
      <c r="T47">
        <f>SUM($S$2:S47)</f>
        <v>1583.1683168316863</v>
      </c>
    </row>
    <row r="48" spans="1:20" x14ac:dyDescent="0.35">
      <c r="A48">
        <v>46</v>
      </c>
      <c r="B48">
        <v>12</v>
      </c>
      <c r="C48">
        <v>26454.691479808349</v>
      </c>
      <c r="D48">
        <f t="shared" si="0"/>
        <v>54</v>
      </c>
      <c r="E48">
        <f t="shared" si="1"/>
        <v>5.32</v>
      </c>
      <c r="F48">
        <f t="shared" si="2"/>
        <v>140738.95867258043</v>
      </c>
      <c r="M48">
        <v>46</v>
      </c>
      <c r="N48">
        <f t="shared" si="3"/>
        <v>9.9009900990099011E-3</v>
      </c>
      <c r="S48">
        <f t="shared" si="4"/>
        <v>14.851485148514852</v>
      </c>
      <c r="T48">
        <f>SUM($S$2:S48)</f>
        <v>1598.0198019802012</v>
      </c>
    </row>
    <row r="49" spans="1:20" x14ac:dyDescent="0.35">
      <c r="A49">
        <v>47</v>
      </c>
      <c r="B49">
        <v>12</v>
      </c>
      <c r="C49">
        <v>27232.770640979179</v>
      </c>
      <c r="D49">
        <f t="shared" si="0"/>
        <v>53</v>
      </c>
      <c r="E49">
        <f t="shared" si="1"/>
        <v>5.24</v>
      </c>
      <c r="F49">
        <f t="shared" si="2"/>
        <v>142699.71815873092</v>
      </c>
      <c r="M49">
        <v>47</v>
      </c>
      <c r="N49">
        <f t="shared" si="3"/>
        <v>9.9009900990099011E-3</v>
      </c>
      <c r="S49">
        <f t="shared" si="4"/>
        <v>14.851485148514852</v>
      </c>
      <c r="T49">
        <f>SUM($S$2:S49)</f>
        <v>1612.8712871287162</v>
      </c>
    </row>
    <row r="50" spans="1:20" x14ac:dyDescent="0.35">
      <c r="A50">
        <v>48</v>
      </c>
      <c r="B50">
        <v>13</v>
      </c>
      <c r="C50">
        <v>28019.59530184801</v>
      </c>
      <c r="D50">
        <f t="shared" si="0"/>
        <v>52</v>
      </c>
      <c r="E50">
        <f t="shared" si="1"/>
        <v>5.16</v>
      </c>
      <c r="F50">
        <f t="shared" si="2"/>
        <v>144581.11175753575</v>
      </c>
      <c r="M50">
        <v>48</v>
      </c>
      <c r="N50">
        <f t="shared" si="3"/>
        <v>9.9009900990099011E-3</v>
      </c>
      <c r="S50">
        <f t="shared" si="4"/>
        <v>14.851485148514852</v>
      </c>
      <c r="T50">
        <f>SUM($S$2:S50)</f>
        <v>1627.7227722772311</v>
      </c>
    </row>
    <row r="51" spans="1:20" x14ac:dyDescent="0.35">
      <c r="A51">
        <v>49</v>
      </c>
      <c r="B51">
        <v>13</v>
      </c>
      <c r="C51">
        <v>28820.155167615088</v>
      </c>
      <c r="D51">
        <f t="shared" si="0"/>
        <v>51</v>
      </c>
      <c r="E51">
        <f t="shared" si="1"/>
        <v>5.08</v>
      </c>
      <c r="F51">
        <f t="shared" si="2"/>
        <v>146406.38825148466</v>
      </c>
      <c r="M51">
        <v>49</v>
      </c>
      <c r="N51">
        <f t="shared" si="3"/>
        <v>9.9009900990099011E-3</v>
      </c>
      <c r="S51">
        <f t="shared" si="4"/>
        <v>14.851485148514852</v>
      </c>
      <c r="T51">
        <f>SUM($S$2:S51)</f>
        <v>1642.5742574257461</v>
      </c>
    </row>
    <row r="52" spans="1:20" x14ac:dyDescent="0.35">
      <c r="A52">
        <v>50</v>
      </c>
      <c r="B52">
        <v>13</v>
      </c>
      <c r="C52">
        <v>29620.71503338217</v>
      </c>
      <c r="D52">
        <f t="shared" si="0"/>
        <v>50</v>
      </c>
      <c r="E52">
        <f t="shared" si="1"/>
        <v>5</v>
      </c>
      <c r="F52">
        <f t="shared" si="2"/>
        <v>148103.57516691086</v>
      </c>
      <c r="M52">
        <v>50</v>
      </c>
      <c r="N52">
        <f t="shared" si="3"/>
        <v>9.9009900990099011E-3</v>
      </c>
      <c r="S52">
        <f t="shared" si="4"/>
        <v>14.851485148514852</v>
      </c>
      <c r="T52">
        <f>SUM($S$2:S52)</f>
        <v>1657.425742574261</v>
      </c>
    </row>
    <row r="53" spans="1:20" x14ac:dyDescent="0.35">
      <c r="A53">
        <v>51</v>
      </c>
      <c r="B53">
        <v>13</v>
      </c>
      <c r="C53">
        <v>30421.274899149259</v>
      </c>
      <c r="D53">
        <f t="shared" si="0"/>
        <v>49</v>
      </c>
      <c r="E53">
        <f t="shared" si="1"/>
        <v>4.92</v>
      </c>
      <c r="F53">
        <f t="shared" si="2"/>
        <v>149672.67250381436</v>
      </c>
      <c r="M53">
        <v>51</v>
      </c>
      <c r="N53">
        <f t="shared" si="3"/>
        <v>9.9009900990099011E-3</v>
      </c>
      <c r="S53">
        <f t="shared" si="4"/>
        <v>14.851485148514852</v>
      </c>
      <c r="T53">
        <f>SUM($S$2:S53)</f>
        <v>1672.2772277227759</v>
      </c>
    </row>
    <row r="54" spans="1:20" x14ac:dyDescent="0.35">
      <c r="A54">
        <v>52</v>
      </c>
      <c r="B54">
        <v>13</v>
      </c>
      <c r="C54">
        <v>31221.834764916352</v>
      </c>
      <c r="D54">
        <f t="shared" si="0"/>
        <v>48</v>
      </c>
      <c r="E54">
        <f t="shared" si="1"/>
        <v>4.84</v>
      </c>
      <c r="F54">
        <f t="shared" si="2"/>
        <v>151113.68026219515</v>
      </c>
      <c r="M54">
        <v>52</v>
      </c>
      <c r="N54">
        <f t="shared" si="3"/>
        <v>9.9009900990099011E-3</v>
      </c>
      <c r="S54">
        <f t="shared" si="4"/>
        <v>14.851485148514852</v>
      </c>
      <c r="T54">
        <f>SUM($S$2:S54)</f>
        <v>1687.1287128712909</v>
      </c>
    </row>
    <row r="55" spans="1:20" x14ac:dyDescent="0.35">
      <c r="A55">
        <v>53</v>
      </c>
      <c r="B55">
        <v>14</v>
      </c>
      <c r="C55">
        <v>32038.067140526298</v>
      </c>
      <c r="D55">
        <f t="shared" si="0"/>
        <v>47</v>
      </c>
      <c r="E55">
        <f t="shared" si="1"/>
        <v>4.76</v>
      </c>
      <c r="F55">
        <f t="shared" si="2"/>
        <v>152501.19958890518</v>
      </c>
      <c r="M55">
        <v>53</v>
      </c>
      <c r="N55">
        <f t="shared" si="3"/>
        <v>9.9009900990099011E-3</v>
      </c>
      <c r="S55">
        <f t="shared" si="4"/>
        <v>14.851485148514852</v>
      </c>
      <c r="T55">
        <f>SUM($S$2:S55)</f>
        <v>1701.9801980198058</v>
      </c>
    </row>
    <row r="56" spans="1:20" x14ac:dyDescent="0.35">
      <c r="A56">
        <v>54</v>
      </c>
      <c r="B56">
        <v>14</v>
      </c>
      <c r="C56">
        <v>32859.556041565433</v>
      </c>
      <c r="D56">
        <f t="shared" si="0"/>
        <v>46</v>
      </c>
      <c r="E56">
        <f t="shared" si="1"/>
        <v>4.68</v>
      </c>
      <c r="F56">
        <f t="shared" si="2"/>
        <v>153782.72227452623</v>
      </c>
      <c r="M56">
        <v>54</v>
      </c>
      <c r="N56">
        <f t="shared" si="3"/>
        <v>9.9009900990099011E-3</v>
      </c>
      <c r="S56">
        <f t="shared" si="4"/>
        <v>14.851485148514852</v>
      </c>
      <c r="T56">
        <f>SUM($S$2:S56)</f>
        <v>1716.8316831683208</v>
      </c>
    </row>
    <row r="57" spans="1:20" x14ac:dyDescent="0.35">
      <c r="A57">
        <v>55</v>
      </c>
      <c r="B57">
        <v>14</v>
      </c>
      <c r="C57">
        <v>33681.04494260456</v>
      </c>
      <c r="D57">
        <f t="shared" si="0"/>
        <v>45</v>
      </c>
      <c r="E57">
        <f t="shared" si="1"/>
        <v>4.5999999999999996</v>
      </c>
      <c r="F57">
        <f t="shared" si="2"/>
        <v>154932.80673598096</v>
      </c>
      <c r="M57">
        <v>55</v>
      </c>
      <c r="N57">
        <f t="shared" si="3"/>
        <v>9.9009900990099011E-3</v>
      </c>
      <c r="S57">
        <f t="shared" si="4"/>
        <v>14.851485148514852</v>
      </c>
      <c r="T57">
        <f>SUM($S$2:S57)</f>
        <v>1731.6831683168357</v>
      </c>
    </row>
    <row r="58" spans="1:20" x14ac:dyDescent="0.35">
      <c r="A58">
        <v>56</v>
      </c>
      <c r="B58">
        <v>14</v>
      </c>
      <c r="C58">
        <v>34502.533843643701</v>
      </c>
      <c r="D58">
        <f t="shared" si="0"/>
        <v>44</v>
      </c>
      <c r="E58">
        <f t="shared" si="1"/>
        <v>4.5199999999999996</v>
      </c>
      <c r="F58">
        <f t="shared" si="2"/>
        <v>155951.45297326951</v>
      </c>
      <c r="M58">
        <v>56</v>
      </c>
      <c r="N58">
        <f t="shared" si="3"/>
        <v>9.9009900990099011E-3</v>
      </c>
      <c r="S58">
        <f t="shared" si="4"/>
        <v>14.851485148514852</v>
      </c>
      <c r="T58">
        <f>SUM($S$2:S58)</f>
        <v>1746.5346534653506</v>
      </c>
    </row>
    <row r="59" spans="1:20" x14ac:dyDescent="0.35">
      <c r="A59">
        <v>57</v>
      </c>
      <c r="B59">
        <v>15</v>
      </c>
      <c r="C59">
        <v>35324.801654211413</v>
      </c>
      <c r="D59">
        <f t="shared" si="0"/>
        <v>43</v>
      </c>
      <c r="E59">
        <f t="shared" si="1"/>
        <v>4.4399999999999995</v>
      </c>
      <c r="F59">
        <f t="shared" si="2"/>
        <v>156842.11934469864</v>
      </c>
      <c r="M59">
        <v>57</v>
      </c>
      <c r="N59">
        <f t="shared" si="3"/>
        <v>9.9009900990099011E-3</v>
      </c>
      <c r="S59">
        <f t="shared" si="4"/>
        <v>14.851485148514852</v>
      </c>
      <c r="T59">
        <f>SUM($S$2:S59)</f>
        <v>1761.3861386138656</v>
      </c>
    </row>
    <row r="60" spans="1:20" x14ac:dyDescent="0.35">
      <c r="A60">
        <v>58</v>
      </c>
      <c r="B60">
        <v>15</v>
      </c>
      <c r="C60">
        <v>36165.868360264067</v>
      </c>
      <c r="D60">
        <f t="shared" si="0"/>
        <v>42</v>
      </c>
      <c r="E60">
        <f t="shared" si="1"/>
        <v>4.3599999999999994</v>
      </c>
      <c r="F60">
        <f t="shared" si="2"/>
        <v>157683.1860507513</v>
      </c>
      <c r="M60">
        <v>58</v>
      </c>
      <c r="N60">
        <f t="shared" si="3"/>
        <v>9.9009900990099011E-3</v>
      </c>
      <c r="S60">
        <f t="shared" si="4"/>
        <v>14.851485148514852</v>
      </c>
      <c r="T60">
        <f>SUM($S$2:S60)</f>
        <v>1776.2376237623805</v>
      </c>
    </row>
    <row r="61" spans="1:20" x14ac:dyDescent="0.35">
      <c r="A61">
        <v>59</v>
      </c>
      <c r="B61">
        <v>15</v>
      </c>
      <c r="C61">
        <v>37006.935066316713</v>
      </c>
      <c r="D61">
        <f t="shared" si="0"/>
        <v>41</v>
      </c>
      <c r="E61">
        <f t="shared" si="1"/>
        <v>4.28</v>
      </c>
      <c r="F61">
        <f t="shared" si="2"/>
        <v>158389.68208383553</v>
      </c>
      <c r="M61">
        <v>59</v>
      </c>
      <c r="N61">
        <f t="shared" si="3"/>
        <v>9.9009900990099011E-3</v>
      </c>
      <c r="S61">
        <f t="shared" si="4"/>
        <v>14.851485148514852</v>
      </c>
      <c r="T61">
        <f>SUM($S$2:S61)</f>
        <v>1791.0891089108954</v>
      </c>
    </row>
    <row r="62" spans="1:20" x14ac:dyDescent="0.35">
      <c r="A62">
        <v>60</v>
      </c>
      <c r="B62">
        <v>15</v>
      </c>
      <c r="C62">
        <v>37848.001772369367</v>
      </c>
      <c r="D62">
        <f t="shared" si="0"/>
        <v>40</v>
      </c>
      <c r="E62">
        <f t="shared" si="1"/>
        <v>4.2</v>
      </c>
      <c r="F62">
        <f t="shared" si="2"/>
        <v>158961.60744395136</v>
      </c>
      <c r="M62">
        <v>60</v>
      </c>
      <c r="N62">
        <f t="shared" si="3"/>
        <v>9.9009900990099011E-3</v>
      </c>
      <c r="S62">
        <f t="shared" si="4"/>
        <v>14.851485148514852</v>
      </c>
      <c r="T62">
        <f>SUM($S$2:S62)</f>
        <v>1805.9405940594104</v>
      </c>
    </row>
    <row r="63" spans="1:20" x14ac:dyDescent="0.35">
      <c r="A63">
        <v>61</v>
      </c>
      <c r="B63">
        <v>15</v>
      </c>
      <c r="C63">
        <v>38689.068478422021</v>
      </c>
      <c r="D63">
        <f t="shared" si="0"/>
        <v>39</v>
      </c>
      <c r="E63">
        <f t="shared" si="1"/>
        <v>4.12</v>
      </c>
      <c r="F63">
        <f t="shared" si="2"/>
        <v>159398.96213109873</v>
      </c>
      <c r="M63">
        <v>61</v>
      </c>
      <c r="N63">
        <f t="shared" si="3"/>
        <v>9.9009900990099011E-3</v>
      </c>
      <c r="S63">
        <f t="shared" si="4"/>
        <v>14.851485148514852</v>
      </c>
      <c r="T63">
        <f>SUM($S$2:S63)</f>
        <v>1820.7920792079253</v>
      </c>
    </row>
    <row r="64" spans="1:20" x14ac:dyDescent="0.35">
      <c r="A64">
        <v>62</v>
      </c>
      <c r="B64">
        <v>16</v>
      </c>
      <c r="C64">
        <v>39535.032442034957</v>
      </c>
      <c r="D64">
        <f t="shared" si="0"/>
        <v>38</v>
      </c>
      <c r="E64">
        <f t="shared" si="1"/>
        <v>4.04</v>
      </c>
      <c r="F64">
        <f t="shared" si="2"/>
        <v>159721.53106582124</v>
      </c>
      <c r="M64">
        <v>62</v>
      </c>
      <c r="N64">
        <f t="shared" si="3"/>
        <v>9.9009900990099011E-3</v>
      </c>
      <c r="S64">
        <f t="shared" si="4"/>
        <v>14.851485148514852</v>
      </c>
      <c r="T64">
        <f>SUM($S$2:S64)</f>
        <v>1835.6435643564403</v>
      </c>
    </row>
    <row r="65" spans="1:20" x14ac:dyDescent="0.35">
      <c r="A65">
        <v>63</v>
      </c>
      <c r="B65">
        <v>16</v>
      </c>
      <c r="C65">
        <v>40394.48966903572</v>
      </c>
      <c r="D65">
        <f t="shared" si="0"/>
        <v>37</v>
      </c>
      <c r="E65">
        <f t="shared" si="1"/>
        <v>3.96</v>
      </c>
      <c r="F65">
        <f t="shared" si="2"/>
        <v>159962.17908938145</v>
      </c>
      <c r="M65">
        <v>63</v>
      </c>
      <c r="N65">
        <f t="shared" si="3"/>
        <v>9.9009900990099011E-3</v>
      </c>
      <c r="S65">
        <f t="shared" si="4"/>
        <v>14.851485148514852</v>
      </c>
      <c r="T65">
        <f>SUM($S$2:S65)</f>
        <v>1850.4950495049552</v>
      </c>
    </row>
    <row r="66" spans="1:20" x14ac:dyDescent="0.35">
      <c r="A66">
        <v>64</v>
      </c>
      <c r="B66">
        <v>16</v>
      </c>
      <c r="C66">
        <v>41253.946896036483</v>
      </c>
      <c r="D66">
        <f t="shared" si="0"/>
        <v>36</v>
      </c>
      <c r="E66">
        <f t="shared" si="1"/>
        <v>3.88</v>
      </c>
      <c r="F66">
        <f t="shared" si="2"/>
        <v>160065.31395662154</v>
      </c>
      <c r="M66">
        <v>64</v>
      </c>
      <c r="N66">
        <f t="shared" si="3"/>
        <v>9.9009900990099011E-3</v>
      </c>
      <c r="S66">
        <f t="shared" si="4"/>
        <v>14.851485148514852</v>
      </c>
      <c r="T66">
        <f>SUM($S$2:S66)</f>
        <v>1865.3465346534701</v>
      </c>
    </row>
    <row r="67" spans="1:20" x14ac:dyDescent="0.35">
      <c r="A67">
        <v>65</v>
      </c>
      <c r="B67">
        <v>16</v>
      </c>
      <c r="C67">
        <v>42113.404123037239</v>
      </c>
      <c r="D67">
        <f t="shared" ref="D67:D102" si="5">100-A67</f>
        <v>35</v>
      </c>
      <c r="E67">
        <f t="shared" ref="E67:E102" si="6">D67*0.08+1</f>
        <v>3.8000000000000003</v>
      </c>
      <c r="F67">
        <f t="shared" ref="F67:F103" si="7">E67*C67</f>
        <v>160030.93566754152</v>
      </c>
      <c r="M67">
        <v>65</v>
      </c>
      <c r="N67">
        <f t="shared" ref="N67:N104" si="8">1/101</f>
        <v>9.9009900990099011E-3</v>
      </c>
      <c r="S67">
        <f t="shared" ref="S67:S105" si="9">(0.3*N67+0.18*O67+0.02*P67+0.3*Q67+0.2*R67)*5000</f>
        <v>14.851485148514852</v>
      </c>
      <c r="T67">
        <f>SUM($S$2:S67)</f>
        <v>1880.1980198019851</v>
      </c>
    </row>
    <row r="68" spans="1:20" x14ac:dyDescent="0.35">
      <c r="A68">
        <v>66</v>
      </c>
      <c r="B68">
        <v>16</v>
      </c>
      <c r="C68">
        <v>42972.861350038002</v>
      </c>
      <c r="D68">
        <f t="shared" si="5"/>
        <v>34</v>
      </c>
      <c r="E68">
        <f t="shared" si="6"/>
        <v>3.72</v>
      </c>
      <c r="F68">
        <f t="shared" si="7"/>
        <v>159859.04422214138</v>
      </c>
      <c r="M68">
        <v>66</v>
      </c>
      <c r="N68">
        <f t="shared" si="8"/>
        <v>9.9009900990099011E-3</v>
      </c>
      <c r="S68">
        <f t="shared" si="9"/>
        <v>14.851485148514852</v>
      </c>
      <c r="T68">
        <f>SUM($S$2:S68)</f>
        <v>1895.0495049505</v>
      </c>
    </row>
    <row r="69" spans="1:20" x14ac:dyDescent="0.35">
      <c r="A69">
        <v>67</v>
      </c>
      <c r="B69">
        <v>17</v>
      </c>
      <c r="C69">
        <v>43839.813568121113</v>
      </c>
      <c r="D69">
        <f t="shared" si="5"/>
        <v>33</v>
      </c>
      <c r="E69">
        <f t="shared" si="6"/>
        <v>3.64</v>
      </c>
      <c r="F69">
        <f t="shared" si="7"/>
        <v>159576.92138796087</v>
      </c>
      <c r="M69">
        <v>67</v>
      </c>
      <c r="N69">
        <f t="shared" si="8"/>
        <v>9.9009900990099011E-3</v>
      </c>
      <c r="S69">
        <f t="shared" si="9"/>
        <v>14.851485148514852</v>
      </c>
      <c r="T69">
        <f>SUM($S$2:S69)</f>
        <v>1909.900990099015</v>
      </c>
    </row>
    <row r="70" spans="1:20" x14ac:dyDescent="0.35">
      <c r="A70">
        <v>68</v>
      </c>
      <c r="B70">
        <v>17</v>
      </c>
      <c r="C70">
        <v>44716.609839483528</v>
      </c>
      <c r="D70">
        <f t="shared" si="5"/>
        <v>32</v>
      </c>
      <c r="E70">
        <f t="shared" si="6"/>
        <v>3.56</v>
      </c>
      <c r="F70">
        <f t="shared" si="7"/>
        <v>159191.13102856136</v>
      </c>
      <c r="M70">
        <v>68</v>
      </c>
      <c r="N70">
        <f t="shared" si="8"/>
        <v>9.9009900990099011E-3</v>
      </c>
      <c r="S70">
        <f t="shared" si="9"/>
        <v>14.851485148514852</v>
      </c>
      <c r="T70">
        <f>SUM($S$2:S70)</f>
        <v>1924.7524752475299</v>
      </c>
    </row>
    <row r="71" spans="1:20" x14ac:dyDescent="0.35">
      <c r="A71">
        <v>69</v>
      </c>
      <c r="B71">
        <v>17</v>
      </c>
      <c r="C71">
        <v>45593.406110845957</v>
      </c>
      <c r="D71">
        <f t="shared" si="5"/>
        <v>31</v>
      </c>
      <c r="E71">
        <f t="shared" si="6"/>
        <v>3.48</v>
      </c>
      <c r="F71">
        <f t="shared" si="7"/>
        <v>158665.05326574392</v>
      </c>
      <c r="M71">
        <v>69</v>
      </c>
      <c r="N71">
        <f t="shared" si="8"/>
        <v>9.9009900990099011E-3</v>
      </c>
      <c r="S71">
        <f t="shared" si="9"/>
        <v>14.851485148514852</v>
      </c>
      <c r="T71">
        <f>SUM($S$2:S71)</f>
        <v>1939.6039603960448</v>
      </c>
    </row>
    <row r="72" spans="1:20" x14ac:dyDescent="0.35">
      <c r="A72">
        <v>70</v>
      </c>
      <c r="B72">
        <v>17</v>
      </c>
      <c r="C72">
        <v>46470.202382208372</v>
      </c>
      <c r="D72">
        <f t="shared" si="5"/>
        <v>30</v>
      </c>
      <c r="E72">
        <f t="shared" si="6"/>
        <v>3.4</v>
      </c>
      <c r="F72">
        <f t="shared" si="7"/>
        <v>157998.68809950846</v>
      </c>
      <c r="M72">
        <v>70</v>
      </c>
      <c r="N72">
        <f t="shared" si="8"/>
        <v>9.9009900990099011E-3</v>
      </c>
      <c r="S72">
        <f t="shared" si="9"/>
        <v>14.851485148514852</v>
      </c>
      <c r="T72">
        <f>SUM($S$2:S72)</f>
        <v>1954.4554455445598</v>
      </c>
    </row>
    <row r="73" spans="1:20" x14ac:dyDescent="0.35">
      <c r="A73">
        <v>71</v>
      </c>
      <c r="B73">
        <v>17</v>
      </c>
      <c r="C73">
        <v>47346.998653570801</v>
      </c>
      <c r="D73">
        <f t="shared" si="5"/>
        <v>29</v>
      </c>
      <c r="E73">
        <f t="shared" si="6"/>
        <v>3.32</v>
      </c>
      <c r="F73">
        <f t="shared" si="7"/>
        <v>157192.03552985506</v>
      </c>
      <c r="M73">
        <v>71</v>
      </c>
      <c r="N73">
        <f t="shared" si="8"/>
        <v>9.9009900990099011E-3</v>
      </c>
      <c r="S73">
        <f t="shared" si="9"/>
        <v>14.851485148514852</v>
      </c>
      <c r="T73">
        <f>SUM($S$2:S73)</f>
        <v>1969.3069306930747</v>
      </c>
    </row>
    <row r="74" spans="1:20" x14ac:dyDescent="0.35">
      <c r="A74">
        <v>72</v>
      </c>
      <c r="B74">
        <v>18</v>
      </c>
      <c r="C74">
        <v>48232.670417312831</v>
      </c>
      <c r="D74">
        <f t="shared" si="5"/>
        <v>28</v>
      </c>
      <c r="E74">
        <f t="shared" si="6"/>
        <v>3.24</v>
      </c>
      <c r="F74">
        <f t="shared" si="7"/>
        <v>156273.85215209358</v>
      </c>
      <c r="M74">
        <v>72</v>
      </c>
      <c r="N74">
        <f t="shared" si="8"/>
        <v>9.9009900990099011E-3</v>
      </c>
      <c r="S74">
        <f t="shared" si="9"/>
        <v>14.851485148514852</v>
      </c>
      <c r="T74">
        <f>SUM($S$2:S74)</f>
        <v>1984.1584158415897</v>
      </c>
    </row>
    <row r="75" spans="1:20" x14ac:dyDescent="0.35">
      <c r="A75">
        <v>73</v>
      </c>
      <c r="B75">
        <v>18</v>
      </c>
      <c r="C75">
        <v>49125.868017633453</v>
      </c>
      <c r="D75">
        <f t="shared" si="5"/>
        <v>27</v>
      </c>
      <c r="E75">
        <f t="shared" si="6"/>
        <v>3.16</v>
      </c>
      <c r="F75">
        <f t="shared" si="7"/>
        <v>155237.7429357217</v>
      </c>
      <c r="M75">
        <v>73</v>
      </c>
      <c r="N75">
        <f t="shared" si="8"/>
        <v>9.9009900990099011E-3</v>
      </c>
      <c r="S75">
        <f t="shared" si="9"/>
        <v>14.851485148514852</v>
      </c>
      <c r="T75">
        <f>SUM($S$2:S75)</f>
        <v>1999.0099009901046</v>
      </c>
    </row>
    <row r="76" spans="1:20" x14ac:dyDescent="0.35">
      <c r="A76">
        <v>74</v>
      </c>
      <c r="B76">
        <v>18</v>
      </c>
      <c r="C76">
        <v>50019.065617954053</v>
      </c>
      <c r="D76">
        <f t="shared" si="5"/>
        <v>26</v>
      </c>
      <c r="E76">
        <f t="shared" si="6"/>
        <v>3.08</v>
      </c>
      <c r="F76">
        <f t="shared" si="7"/>
        <v>154058.7221032985</v>
      </c>
      <c r="M76">
        <v>74</v>
      </c>
      <c r="N76">
        <f t="shared" si="8"/>
        <v>9.9009900990099011E-3</v>
      </c>
      <c r="S76">
        <f t="shared" si="9"/>
        <v>14.851485148514852</v>
      </c>
      <c r="T76">
        <f>SUM($S$2:S76)</f>
        <v>2013.8613861386195</v>
      </c>
    </row>
    <row r="77" spans="1:20" x14ac:dyDescent="0.35">
      <c r="A77">
        <v>75</v>
      </c>
      <c r="B77">
        <v>18</v>
      </c>
      <c r="C77">
        <v>50912.26321827466</v>
      </c>
      <c r="D77">
        <f t="shared" si="5"/>
        <v>25</v>
      </c>
      <c r="E77">
        <f t="shared" si="6"/>
        <v>3</v>
      </c>
      <c r="F77">
        <f t="shared" si="7"/>
        <v>152736.78965482398</v>
      </c>
      <c r="M77">
        <v>75</v>
      </c>
      <c r="N77">
        <f t="shared" si="8"/>
        <v>9.9009900990099011E-3</v>
      </c>
      <c r="S77">
        <f t="shared" si="9"/>
        <v>14.851485148514852</v>
      </c>
      <c r="T77">
        <f>SUM($S$2:S77)</f>
        <v>2028.7128712871345</v>
      </c>
    </row>
    <row r="78" spans="1:20" x14ac:dyDescent="0.35">
      <c r="A78">
        <v>76</v>
      </c>
      <c r="B78">
        <v>18</v>
      </c>
      <c r="C78">
        <v>51805.460818595267</v>
      </c>
      <c r="D78">
        <f t="shared" si="5"/>
        <v>24</v>
      </c>
      <c r="E78">
        <f t="shared" si="6"/>
        <v>2.92</v>
      </c>
      <c r="F78">
        <f t="shared" si="7"/>
        <v>151271.94559029819</v>
      </c>
      <c r="M78">
        <v>76</v>
      </c>
      <c r="N78">
        <f t="shared" si="8"/>
        <v>9.9009900990099011E-3</v>
      </c>
      <c r="S78">
        <f t="shared" si="9"/>
        <v>14.851485148514852</v>
      </c>
      <c r="T78">
        <f>SUM($S$2:S78)</f>
        <v>2043.5643564356494</v>
      </c>
    </row>
    <row r="79" spans="1:20" x14ac:dyDescent="0.35">
      <c r="A79">
        <v>77</v>
      </c>
      <c r="B79">
        <v>19</v>
      </c>
      <c r="C79">
        <v>52707.932485168298</v>
      </c>
      <c r="D79">
        <f t="shared" si="5"/>
        <v>23</v>
      </c>
      <c r="E79">
        <f t="shared" si="6"/>
        <v>2.84</v>
      </c>
      <c r="F79">
        <f t="shared" si="7"/>
        <v>149690.52825787794</v>
      </c>
      <c r="M79">
        <v>77</v>
      </c>
      <c r="N79">
        <f t="shared" si="8"/>
        <v>9.9009900990099011E-3</v>
      </c>
      <c r="S79">
        <f t="shared" si="9"/>
        <v>14.851485148514852</v>
      </c>
      <c r="T79">
        <f>SUM($S$2:S79)</f>
        <v>2058.4158415841644</v>
      </c>
    </row>
    <row r="80" spans="1:20" x14ac:dyDescent="0.35">
      <c r="A80">
        <v>78</v>
      </c>
      <c r="B80">
        <v>19</v>
      </c>
      <c r="C80">
        <v>53616.689941809127</v>
      </c>
      <c r="D80">
        <f t="shared" si="5"/>
        <v>22</v>
      </c>
      <c r="E80">
        <f t="shared" si="6"/>
        <v>2.76</v>
      </c>
      <c r="F80">
        <f t="shared" si="7"/>
        <v>147982.06423939319</v>
      </c>
      <c r="M80">
        <v>78</v>
      </c>
      <c r="N80">
        <f t="shared" si="8"/>
        <v>9.9009900990099011E-3</v>
      </c>
      <c r="S80">
        <f t="shared" si="9"/>
        <v>14.851485148514852</v>
      </c>
      <c r="T80">
        <f>SUM($S$2:S80)</f>
        <v>2073.2673267326791</v>
      </c>
    </row>
    <row r="81" spans="1:20" x14ac:dyDescent="0.35">
      <c r="A81">
        <v>79</v>
      </c>
      <c r="B81">
        <v>19</v>
      </c>
      <c r="C81">
        <v>54525.447398449956</v>
      </c>
      <c r="D81">
        <f t="shared" si="5"/>
        <v>21</v>
      </c>
      <c r="E81">
        <f t="shared" si="6"/>
        <v>2.6799999999999997</v>
      </c>
      <c r="F81">
        <f t="shared" si="7"/>
        <v>146128.19902784587</v>
      </c>
      <c r="M81">
        <v>79</v>
      </c>
      <c r="N81">
        <f t="shared" si="8"/>
        <v>9.9009900990099011E-3</v>
      </c>
      <c r="S81">
        <f t="shared" si="9"/>
        <v>14.851485148514852</v>
      </c>
      <c r="T81">
        <f>SUM($S$2:S81)</f>
        <v>2088.1188118811938</v>
      </c>
    </row>
    <row r="82" spans="1:20" x14ac:dyDescent="0.35">
      <c r="A82">
        <v>80</v>
      </c>
      <c r="B82">
        <v>19</v>
      </c>
      <c r="C82">
        <v>55434.204855090793</v>
      </c>
      <c r="D82">
        <f t="shared" si="5"/>
        <v>20</v>
      </c>
      <c r="E82">
        <f t="shared" si="6"/>
        <v>2.6</v>
      </c>
      <c r="F82">
        <f t="shared" si="7"/>
        <v>144128.93262323606</v>
      </c>
      <c r="M82">
        <v>80</v>
      </c>
      <c r="N82">
        <f t="shared" si="8"/>
        <v>9.9009900990099011E-3</v>
      </c>
      <c r="S82">
        <f t="shared" si="9"/>
        <v>14.851485148514852</v>
      </c>
      <c r="T82">
        <f>SUM($S$2:S82)</f>
        <v>2102.9702970297085</v>
      </c>
    </row>
    <row r="83" spans="1:20" x14ac:dyDescent="0.35">
      <c r="A83">
        <v>81</v>
      </c>
      <c r="B83">
        <v>19</v>
      </c>
      <c r="C83">
        <v>56342.96231173163</v>
      </c>
      <c r="D83">
        <f t="shared" si="5"/>
        <v>19</v>
      </c>
      <c r="E83">
        <f t="shared" si="6"/>
        <v>2.52</v>
      </c>
      <c r="F83">
        <f t="shared" si="7"/>
        <v>141984.26502556371</v>
      </c>
      <c r="M83">
        <v>81</v>
      </c>
      <c r="N83">
        <f t="shared" si="8"/>
        <v>9.9009900990099011E-3</v>
      </c>
      <c r="S83">
        <f t="shared" si="9"/>
        <v>14.851485148514852</v>
      </c>
      <c r="T83">
        <f>SUM($S$2:S83)</f>
        <v>2117.8217821782232</v>
      </c>
    </row>
    <row r="84" spans="1:20" x14ac:dyDescent="0.35">
      <c r="A84">
        <v>82</v>
      </c>
      <c r="B84">
        <v>20</v>
      </c>
      <c r="C84">
        <v>57260.595174070229</v>
      </c>
      <c r="D84">
        <f t="shared" si="5"/>
        <v>18</v>
      </c>
      <c r="E84">
        <f t="shared" si="6"/>
        <v>2.44</v>
      </c>
      <c r="F84">
        <f t="shared" si="7"/>
        <v>139715.85222473135</v>
      </c>
      <c r="M84">
        <v>82</v>
      </c>
      <c r="N84">
        <f t="shared" si="8"/>
        <v>9.9009900990099011E-3</v>
      </c>
      <c r="S84">
        <f t="shared" si="9"/>
        <v>14.851485148514852</v>
      </c>
      <c r="T84">
        <f>SUM($S$2:S84)</f>
        <v>2132.6732673267379</v>
      </c>
    </row>
    <row r="85" spans="1:20" x14ac:dyDescent="0.35">
      <c r="A85">
        <v>83</v>
      </c>
      <c r="B85">
        <v>20</v>
      </c>
      <c r="C85">
        <v>58184.15316074877</v>
      </c>
      <c r="D85">
        <f t="shared" si="5"/>
        <v>17</v>
      </c>
      <c r="E85">
        <f t="shared" si="6"/>
        <v>2.3600000000000003</v>
      </c>
      <c r="F85">
        <f t="shared" si="7"/>
        <v>137314.60145936711</v>
      </c>
      <c r="M85">
        <v>83</v>
      </c>
      <c r="N85">
        <f t="shared" si="8"/>
        <v>9.9009900990099011E-3</v>
      </c>
      <c r="S85">
        <f t="shared" si="9"/>
        <v>14.851485148514852</v>
      </c>
      <c r="T85">
        <f>SUM($S$2:S85)</f>
        <v>2147.5247524752526</v>
      </c>
    </row>
    <row r="86" spans="1:20" x14ac:dyDescent="0.35">
      <c r="A86">
        <v>84</v>
      </c>
      <c r="B86">
        <v>20</v>
      </c>
      <c r="C86">
        <v>59107.711147427333</v>
      </c>
      <c r="D86">
        <f t="shared" si="5"/>
        <v>16</v>
      </c>
      <c r="E86">
        <f t="shared" si="6"/>
        <v>2.2800000000000002</v>
      </c>
      <c r="F86">
        <f t="shared" si="7"/>
        <v>134765.58141613434</v>
      </c>
      <c r="M86">
        <v>84</v>
      </c>
      <c r="N86">
        <f t="shared" si="8"/>
        <v>9.9009900990099011E-3</v>
      </c>
      <c r="S86">
        <f t="shared" si="9"/>
        <v>14.851485148514852</v>
      </c>
      <c r="T86">
        <f>SUM($S$2:S86)</f>
        <v>2162.3762376237673</v>
      </c>
    </row>
    <row r="87" spans="1:20" x14ac:dyDescent="0.35">
      <c r="A87">
        <v>85</v>
      </c>
      <c r="B87">
        <v>20</v>
      </c>
      <c r="C87">
        <v>60031.269134105882</v>
      </c>
      <c r="D87">
        <f t="shared" si="5"/>
        <v>15</v>
      </c>
      <c r="E87">
        <f t="shared" si="6"/>
        <v>2.2000000000000002</v>
      </c>
      <c r="F87">
        <f t="shared" si="7"/>
        <v>132068.79209503296</v>
      </c>
      <c r="M87">
        <v>85</v>
      </c>
      <c r="N87">
        <f t="shared" si="8"/>
        <v>9.9009900990099011E-3</v>
      </c>
      <c r="S87">
        <f t="shared" si="9"/>
        <v>14.851485148514852</v>
      </c>
      <c r="T87">
        <f>SUM($S$2:S87)</f>
        <v>2177.227722772282</v>
      </c>
    </row>
    <row r="88" spans="1:20" x14ac:dyDescent="0.35">
      <c r="A88">
        <v>86</v>
      </c>
      <c r="B88">
        <v>20</v>
      </c>
      <c r="C88">
        <v>60954.82712078443</v>
      </c>
      <c r="D88">
        <f t="shared" si="5"/>
        <v>14</v>
      </c>
      <c r="E88">
        <f t="shared" si="6"/>
        <v>2.12</v>
      </c>
      <c r="F88">
        <f t="shared" si="7"/>
        <v>129224.233496063</v>
      </c>
      <c r="M88">
        <v>86</v>
      </c>
      <c r="N88">
        <f t="shared" si="8"/>
        <v>9.9009900990099011E-3</v>
      </c>
      <c r="S88">
        <f t="shared" si="9"/>
        <v>14.851485148514852</v>
      </c>
      <c r="T88">
        <f>SUM($S$2:S88)</f>
        <v>2192.0792079207968</v>
      </c>
    </row>
    <row r="89" spans="1:20" x14ac:dyDescent="0.35">
      <c r="A89">
        <v>87</v>
      </c>
      <c r="B89">
        <v>21</v>
      </c>
      <c r="C89">
        <v>61886.211128846291</v>
      </c>
      <c r="D89">
        <f t="shared" si="5"/>
        <v>13</v>
      </c>
      <c r="E89">
        <f t="shared" si="6"/>
        <v>2.04</v>
      </c>
      <c r="F89">
        <f t="shared" si="7"/>
        <v>126247.87070284644</v>
      </c>
      <c r="M89">
        <v>87</v>
      </c>
      <c r="N89">
        <f t="shared" si="8"/>
        <v>9.9009900990099011E-3</v>
      </c>
      <c r="S89">
        <f t="shared" si="9"/>
        <v>14.851485148514852</v>
      </c>
      <c r="T89">
        <f>SUM($S$2:S89)</f>
        <v>2206.9306930693115</v>
      </c>
    </row>
    <row r="90" spans="1:20" x14ac:dyDescent="0.35">
      <c r="A90">
        <v>88</v>
      </c>
      <c r="B90">
        <v>21</v>
      </c>
      <c r="C90">
        <v>62823.880994434883</v>
      </c>
      <c r="D90">
        <f t="shared" si="5"/>
        <v>12</v>
      </c>
      <c r="E90">
        <f t="shared" si="6"/>
        <v>1.96</v>
      </c>
      <c r="F90">
        <f t="shared" si="7"/>
        <v>123134.80674909237</v>
      </c>
      <c r="M90">
        <v>88</v>
      </c>
      <c r="N90">
        <f t="shared" si="8"/>
        <v>9.9009900990099011E-3</v>
      </c>
      <c r="S90">
        <f t="shared" si="9"/>
        <v>14.851485148514852</v>
      </c>
      <c r="T90">
        <f>SUM($S$2:S90)</f>
        <v>2221.7821782178262</v>
      </c>
    </row>
    <row r="91" spans="1:20" x14ac:dyDescent="0.35">
      <c r="A91">
        <v>89</v>
      </c>
      <c r="B91">
        <v>21</v>
      </c>
      <c r="C91">
        <v>63761.550860023468</v>
      </c>
      <c r="D91">
        <f t="shared" si="5"/>
        <v>11</v>
      </c>
      <c r="E91">
        <f t="shared" si="6"/>
        <v>1.88</v>
      </c>
      <c r="F91">
        <f t="shared" si="7"/>
        <v>119871.71561684411</v>
      </c>
      <c r="M91">
        <v>89</v>
      </c>
      <c r="N91">
        <f t="shared" si="8"/>
        <v>9.9009900990099011E-3</v>
      </c>
      <c r="S91">
        <f t="shared" si="9"/>
        <v>14.851485148514852</v>
      </c>
      <c r="T91">
        <f>SUM($S$2:S91)</f>
        <v>2236.6336633663409</v>
      </c>
    </row>
    <row r="92" spans="1:20" x14ac:dyDescent="0.35">
      <c r="A92">
        <v>90</v>
      </c>
      <c r="B92">
        <v>21</v>
      </c>
      <c r="C92">
        <v>64699.220725612031</v>
      </c>
      <c r="D92">
        <f t="shared" si="5"/>
        <v>10</v>
      </c>
      <c r="E92">
        <f t="shared" si="6"/>
        <v>1.8</v>
      </c>
      <c r="F92">
        <f t="shared" si="7"/>
        <v>116458.59730610166</v>
      </c>
      <c r="M92">
        <v>90</v>
      </c>
      <c r="N92">
        <f t="shared" si="8"/>
        <v>9.9009900990099011E-3</v>
      </c>
      <c r="S92">
        <f t="shared" si="9"/>
        <v>14.851485148514852</v>
      </c>
      <c r="T92">
        <f>SUM($S$2:S92)</f>
        <v>2251.4851485148556</v>
      </c>
    </row>
    <row r="93" spans="1:20" x14ac:dyDescent="0.35">
      <c r="A93">
        <v>91</v>
      </c>
      <c r="B93">
        <v>21</v>
      </c>
      <c r="C93">
        <v>65636.890591200616</v>
      </c>
      <c r="D93">
        <f t="shared" si="5"/>
        <v>9</v>
      </c>
      <c r="E93">
        <f t="shared" si="6"/>
        <v>1.72</v>
      </c>
      <c r="F93">
        <f t="shared" si="7"/>
        <v>112895.45181686505</v>
      </c>
      <c r="M93">
        <v>91</v>
      </c>
      <c r="N93">
        <f t="shared" si="8"/>
        <v>9.9009900990099011E-3</v>
      </c>
      <c r="S93">
        <f t="shared" si="9"/>
        <v>14.851485148514852</v>
      </c>
      <c r="T93">
        <f>SUM($S$2:S93)</f>
        <v>2266.3366336633703</v>
      </c>
    </row>
    <row r="94" spans="1:20" x14ac:dyDescent="0.35">
      <c r="A94">
        <v>92</v>
      </c>
      <c r="B94">
        <v>22</v>
      </c>
      <c r="C94">
        <v>66580.803695104405</v>
      </c>
      <c r="D94">
        <f t="shared" si="5"/>
        <v>8</v>
      </c>
      <c r="E94">
        <f t="shared" si="6"/>
        <v>1.6400000000000001</v>
      </c>
      <c r="F94">
        <f t="shared" si="7"/>
        <v>109192.51805997123</v>
      </c>
      <c r="M94">
        <v>92</v>
      </c>
      <c r="N94">
        <f t="shared" si="8"/>
        <v>9.9009900990099011E-3</v>
      </c>
      <c r="S94">
        <f t="shared" si="9"/>
        <v>14.851485148514852</v>
      </c>
      <c r="T94">
        <f>SUM($S$2:S94)</f>
        <v>2281.188118811885</v>
      </c>
    </row>
    <row r="95" spans="1:20" x14ac:dyDescent="0.35">
      <c r="A95">
        <v>93</v>
      </c>
      <c r="B95">
        <v>22</v>
      </c>
      <c r="C95">
        <v>67531.958033605901</v>
      </c>
      <c r="D95">
        <f t="shared" si="5"/>
        <v>7</v>
      </c>
      <c r="E95">
        <f t="shared" si="6"/>
        <v>1.56</v>
      </c>
      <c r="F95">
        <f t="shared" si="7"/>
        <v>105349.8545324252</v>
      </c>
      <c r="M95">
        <v>93</v>
      </c>
      <c r="N95">
        <f t="shared" si="8"/>
        <v>9.9009900990099011E-3</v>
      </c>
      <c r="S95">
        <f t="shared" si="9"/>
        <v>14.851485148514852</v>
      </c>
      <c r="T95">
        <f>SUM($S$2:S95)</f>
        <v>2296.0396039603997</v>
      </c>
    </row>
    <row r="96" spans="1:20" x14ac:dyDescent="0.35">
      <c r="A96">
        <v>94</v>
      </c>
      <c r="B96">
        <v>22</v>
      </c>
      <c r="C96">
        <v>68483.112372107396</v>
      </c>
      <c r="D96">
        <f t="shared" si="5"/>
        <v>6</v>
      </c>
      <c r="E96">
        <f t="shared" si="6"/>
        <v>1.48</v>
      </c>
      <c r="F96">
        <f t="shared" si="7"/>
        <v>101355.00631071895</v>
      </c>
      <c r="M96">
        <v>94</v>
      </c>
      <c r="N96">
        <f t="shared" si="8"/>
        <v>9.9009900990099011E-3</v>
      </c>
      <c r="S96">
        <f t="shared" si="9"/>
        <v>14.851485148514852</v>
      </c>
      <c r="T96">
        <f>SUM($S$2:S96)</f>
        <v>2310.8910891089145</v>
      </c>
    </row>
    <row r="97" spans="1:20" x14ac:dyDescent="0.35">
      <c r="A97">
        <v>95</v>
      </c>
      <c r="B97">
        <v>22</v>
      </c>
      <c r="C97">
        <v>69434.266710608877</v>
      </c>
      <c r="D97">
        <f t="shared" si="5"/>
        <v>5</v>
      </c>
      <c r="E97">
        <f t="shared" si="6"/>
        <v>1.4</v>
      </c>
      <c r="F97">
        <f t="shared" si="7"/>
        <v>97207.973394852423</v>
      </c>
      <c r="M97">
        <v>95</v>
      </c>
      <c r="N97">
        <f t="shared" si="8"/>
        <v>9.9009900990099011E-3</v>
      </c>
      <c r="S97">
        <f t="shared" si="9"/>
        <v>14.851485148514852</v>
      </c>
      <c r="T97">
        <f>SUM($S$2:S97)</f>
        <v>2325.7425742574292</v>
      </c>
    </row>
    <row r="98" spans="1:20" x14ac:dyDescent="0.35">
      <c r="A98">
        <v>96</v>
      </c>
      <c r="B98">
        <v>22</v>
      </c>
      <c r="C98">
        <v>70385.421049110373</v>
      </c>
      <c r="D98">
        <f t="shared" si="5"/>
        <v>4</v>
      </c>
      <c r="E98">
        <f t="shared" si="6"/>
        <v>1.32</v>
      </c>
      <c r="F98">
        <f t="shared" si="7"/>
        <v>92908.755784825698</v>
      </c>
      <c r="M98">
        <v>96</v>
      </c>
      <c r="N98">
        <f t="shared" si="8"/>
        <v>9.9009900990099011E-3</v>
      </c>
      <c r="S98">
        <f t="shared" si="9"/>
        <v>14.851485148514852</v>
      </c>
      <c r="T98">
        <f>SUM($S$2:S98)</f>
        <v>2340.5940594059439</v>
      </c>
    </row>
    <row r="99" spans="1:20" x14ac:dyDescent="0.35">
      <c r="A99">
        <v>97</v>
      </c>
      <c r="B99">
        <v>23</v>
      </c>
      <c r="C99">
        <v>71340.797195344814</v>
      </c>
      <c r="D99">
        <f t="shared" si="5"/>
        <v>3</v>
      </c>
      <c r="E99">
        <f t="shared" si="6"/>
        <v>1.24</v>
      </c>
      <c r="F99">
        <f t="shared" si="7"/>
        <v>88462.588522227568</v>
      </c>
      <c r="M99">
        <v>97</v>
      </c>
      <c r="N99">
        <f t="shared" si="8"/>
        <v>9.9009900990099011E-3</v>
      </c>
      <c r="S99">
        <f t="shared" si="9"/>
        <v>14.851485148514852</v>
      </c>
      <c r="T99">
        <f>SUM($S$2:S99)</f>
        <v>2355.4455445544586</v>
      </c>
    </row>
    <row r="100" spans="1:20" x14ac:dyDescent="0.35">
      <c r="A100">
        <v>98</v>
      </c>
      <c r="B100">
        <v>23</v>
      </c>
      <c r="C100">
        <v>72304.862022308938</v>
      </c>
      <c r="D100">
        <f t="shared" si="5"/>
        <v>2</v>
      </c>
      <c r="E100">
        <f t="shared" si="6"/>
        <v>1.1599999999999999</v>
      </c>
      <c r="F100">
        <f t="shared" si="7"/>
        <v>83873.639945878356</v>
      </c>
      <c r="M100">
        <v>98</v>
      </c>
      <c r="N100">
        <f t="shared" si="8"/>
        <v>9.9009900990099011E-3</v>
      </c>
      <c r="S100">
        <f t="shared" si="9"/>
        <v>14.851485148514852</v>
      </c>
      <c r="T100">
        <f>SUM($S$2:S100)</f>
        <v>2370.2970297029733</v>
      </c>
    </row>
    <row r="101" spans="1:20" x14ac:dyDescent="0.35">
      <c r="A101">
        <v>99</v>
      </c>
      <c r="B101">
        <v>23</v>
      </c>
      <c r="C101">
        <v>73268.926849273048</v>
      </c>
      <c r="D101">
        <f t="shared" si="5"/>
        <v>1</v>
      </c>
      <c r="E101">
        <f t="shared" si="6"/>
        <v>1.08</v>
      </c>
      <c r="F101">
        <f t="shared" si="7"/>
        <v>79130.440997214901</v>
      </c>
      <c r="M101">
        <v>99</v>
      </c>
      <c r="N101">
        <f t="shared" si="8"/>
        <v>9.9009900990099011E-3</v>
      </c>
      <c r="S101">
        <f t="shared" si="9"/>
        <v>14.851485148514852</v>
      </c>
      <c r="T101">
        <f>SUM($S$2:S101)</f>
        <v>2385.148514851488</v>
      </c>
    </row>
    <row r="102" spans="1:20" x14ac:dyDescent="0.35">
      <c r="A102">
        <v>100</v>
      </c>
      <c r="B102">
        <v>23</v>
      </c>
      <c r="C102">
        <v>74232.991676237172</v>
      </c>
      <c r="D102">
        <f t="shared" si="5"/>
        <v>0</v>
      </c>
      <c r="E102">
        <f t="shared" si="6"/>
        <v>1</v>
      </c>
      <c r="F102">
        <f t="shared" si="7"/>
        <v>74232.991676237172</v>
      </c>
      <c r="M102">
        <v>100</v>
      </c>
      <c r="N102">
        <f t="shared" si="8"/>
        <v>9.9009900990099011E-3</v>
      </c>
      <c r="S102">
        <f t="shared" si="9"/>
        <v>14.851485148514852</v>
      </c>
      <c r="T102">
        <f>SUM($S$2:S102)</f>
        <v>2400.0000000000027</v>
      </c>
    </row>
    <row r="103" spans="1:20" x14ac:dyDescent="0.35">
      <c r="E103" t="s">
        <v>6</v>
      </c>
      <c r="F103">
        <f>MAX(F1:F102)</f>
        <v>160065.31395662154</v>
      </c>
      <c r="M103">
        <v>101</v>
      </c>
      <c r="N103">
        <f t="shared" si="8"/>
        <v>9.9009900990099011E-3</v>
      </c>
      <c r="P103">
        <f>1/2</f>
        <v>0.5</v>
      </c>
      <c r="S103">
        <f t="shared" si="9"/>
        <v>64.851485148514854</v>
      </c>
      <c r="T103">
        <f>SUM($S$2:S103)</f>
        <v>2464.8514851485174</v>
      </c>
    </row>
    <row r="104" spans="1:20" x14ac:dyDescent="0.35">
      <c r="E104" t="s">
        <v>7</v>
      </c>
      <c r="F104">
        <f>MATCH(F103,F2:F102,0)-1</f>
        <v>64</v>
      </c>
      <c r="M104">
        <v>102</v>
      </c>
      <c r="N104">
        <f t="shared" si="8"/>
        <v>9.9009900990099011E-3</v>
      </c>
      <c r="P104">
        <f>1/2</f>
        <v>0.5</v>
      </c>
      <c r="S104">
        <f t="shared" si="9"/>
        <v>64.851485148514854</v>
      </c>
      <c r="T104">
        <f>SUM($S$2:S104)</f>
        <v>2529.7029702970322</v>
      </c>
    </row>
    <row r="105" spans="1:20" x14ac:dyDescent="0.35">
      <c r="S105">
        <f t="shared" si="9"/>
        <v>0</v>
      </c>
      <c r="T105">
        <f>SUM($S$2:S105)</f>
        <v>2529.7029702970322</v>
      </c>
    </row>
    <row r="106" spans="1:20" x14ac:dyDescent="0.35">
      <c r="N10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Tan</cp:lastModifiedBy>
  <dcterms:created xsi:type="dcterms:W3CDTF">2026-04-19T08:21:24Z</dcterms:created>
  <dcterms:modified xsi:type="dcterms:W3CDTF">2026-04-19T12:00:14Z</dcterms:modified>
</cp:coreProperties>
</file>